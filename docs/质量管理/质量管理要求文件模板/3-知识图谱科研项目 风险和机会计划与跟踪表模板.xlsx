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3245" windowHeight="7830" tabRatio="681"/>
  </bookViews>
  <sheets>
    <sheet name="封面" sheetId="12" r:id="rId1"/>
    <sheet name="风险和机会评价指南" sheetId="11" r:id="rId2"/>
    <sheet name=" 风险和机会管理计划" sheetId="6" r:id="rId3"/>
    <sheet name="风险识别与跟踪列表" sheetId="1" r:id="rId4"/>
    <sheet name="机会识别与跟踪列表" sheetId="13" r:id="rId5"/>
  </sheets>
  <definedNames>
    <definedName name="_Toc13121324" localSheetId="1">风险和机会评价指南!$B$8</definedName>
    <definedName name="_Toc13121333" localSheetId="1">风险和机会评价指南!$B$66</definedName>
    <definedName name="_Toc13121334" localSheetId="3">风险识别与跟踪列表!#REF!</definedName>
    <definedName name="_Toc13121336" localSheetId="1">风险和机会评价指南!$B$9</definedName>
    <definedName name="_Toc13121337" localSheetId="1">风险和机会评价指南!$B$16</definedName>
    <definedName name="_Toc166848413" localSheetId="1">风险和机会评价指南!$F$54</definedName>
    <definedName name="_Toc13121334" localSheetId="4">机会识别与跟踪列表!#REF!</definedName>
  </definedNames>
  <calcPr calcId="144525" concurrentCalc="0"/>
</workbook>
</file>

<file path=xl/comments1.xml><?xml version="1.0" encoding="utf-8"?>
<comments xmlns="http://schemas.openxmlformats.org/spreadsheetml/2006/main">
  <authors>
    <author>zq</author>
  </authors>
  <commentList>
    <comment ref="H4" authorId="0">
      <text>
        <r>
          <rPr>
            <b/>
            <sz val="9"/>
            <rFont val="宋体"/>
            <charset val="134"/>
          </rPr>
          <t>zq:</t>
        </r>
        <r>
          <rPr>
            <sz val="9"/>
            <rFont val="宋体"/>
            <charset val="134"/>
          </rPr>
          <t xml:space="preserve">
严重度：高   分值为 9 
该风险将导致无法按已经向客户承诺的质量或交付期完成；
或该风险将导致项目终止
严重度：中   分值为6 
该风险将导致项目超过预计工时注1，项目组需要加班甚至通宵才能完成。
严重度：低   分值为3 
该风险不影响项目正常进行，但需要作相应调整：相互关系、工作安排以及人员构成等。</t>
        </r>
      </text>
    </comment>
    <comment ref="I4" authorId="0">
      <text>
        <r>
          <rPr>
            <b/>
            <sz val="9"/>
            <rFont val="宋体"/>
            <charset val="134"/>
          </rPr>
          <t>zq:</t>
        </r>
        <r>
          <rPr>
            <sz val="9"/>
            <rFont val="宋体"/>
            <charset val="134"/>
          </rPr>
          <t xml:space="preserve">
可能性等级 分值   风险发生的概率
高           3    70%&lt;可能性&lt;100%
中           2    30%&lt;可能性&lt;70%
低           1    0%&lt;可能性&lt;30%
</t>
        </r>
      </text>
    </comment>
    <comment ref="J4" authorId="0">
      <text>
        <r>
          <rPr>
            <b/>
            <sz val="9"/>
            <rFont val="宋体"/>
            <charset val="134"/>
          </rPr>
          <t>zq:</t>
        </r>
        <r>
          <rPr>
            <sz val="9"/>
            <rFont val="宋体"/>
            <charset val="134"/>
          </rPr>
          <t xml:space="preserve">
紧迫性 分值 风险紧迫程度说明（发生时间）
高      6        风险将可能近期发生
中      4        风险可能稍远发生
低      2        风险远期才可能发生
</t>
        </r>
      </text>
    </comment>
    <comment ref="K4" authorId="0">
      <text>
        <r>
          <rPr>
            <b/>
            <sz val="9"/>
            <rFont val="宋体"/>
            <charset val="134"/>
          </rPr>
          <t>zq:</t>
        </r>
        <r>
          <rPr>
            <sz val="9"/>
            <rFont val="宋体"/>
            <charset val="134"/>
          </rPr>
          <t xml:space="preserve">
风险优先数 ＝ 风险严重性 × 风险发生可能性 × 风险紧迫性
得出的优先数值有：162,108,72,54，48,36,24,18,12,6</t>
        </r>
      </text>
    </comment>
    <comment ref="L4" authorId="0">
      <text>
        <r>
          <rPr>
            <b/>
            <sz val="9"/>
            <rFont val="宋体"/>
            <charset val="134"/>
          </rPr>
          <t>zq:</t>
        </r>
        <r>
          <rPr>
            <sz val="9"/>
            <rFont val="宋体"/>
            <charset val="134"/>
          </rPr>
          <t xml:space="preserve">
风险优先级    对应风险优先数值范围
 高              ≥72
 中              36－72
 低              &lt;36
 </t>
        </r>
      </text>
    </comment>
    <comment ref="M4" authorId="0">
      <text>
        <r>
          <rPr>
            <b/>
            <sz val="9"/>
            <rFont val="宋体"/>
            <charset val="134"/>
          </rPr>
          <t>zq:</t>
        </r>
        <r>
          <rPr>
            <sz val="9"/>
            <rFont val="宋体"/>
            <charset val="134"/>
          </rPr>
          <t xml:space="preserve">
风险优先级   对应风险优先数范围    风险接受度
高            ≥72                  不可接受
                                    Unacceptable
中             36－72               不可取,不利
                                    Undesirable
低             ≤36                  可接受
                                     Acceptable
</t>
        </r>
      </text>
    </comment>
    <comment ref="P4" authorId="0">
      <text>
        <r>
          <rPr>
            <b/>
            <sz val="9"/>
            <rFont val="宋体"/>
            <charset val="134"/>
          </rPr>
          <t>zq:
内容：</t>
        </r>
        <r>
          <rPr>
            <sz val="9"/>
            <rFont val="宋体"/>
            <charset val="134"/>
          </rPr>
          <t xml:space="preserve">
1.缓解计划触发条件
2.缓解风险的行动
阐述了如何减少风险发生的可能性或影响，是主动式的降低风险发生的潜在影响。它们的作用是通过缓解行动，使风险尽可能不发生。</t>
        </r>
      </text>
    </comment>
    <comment ref="Q4" authorId="0">
      <text>
        <r>
          <rPr>
            <b/>
            <sz val="9"/>
            <rFont val="宋体"/>
            <charset val="134"/>
          </rPr>
          <t xml:space="preserve">zq:
</t>
        </r>
        <r>
          <rPr>
            <sz val="9"/>
            <rFont val="宋体"/>
            <charset val="134"/>
          </rPr>
          <t xml:space="preserve">
优先级为高风险，必须计划应急计划。
计划描述当风险发生时项目可以采取的措施。</t>
        </r>
      </text>
    </comment>
    <comment ref="C5" authorId="0">
      <text>
        <r>
          <rPr>
            <b/>
            <sz val="9"/>
            <rFont val="宋体"/>
            <charset val="134"/>
          </rPr>
          <t>zq:</t>
        </r>
        <r>
          <rPr>
            <sz val="9"/>
            <rFont val="宋体"/>
            <charset val="134"/>
          </rPr>
          <t xml:space="preserve">
常见的风险来源包括以下几个方面：
1. 不确定的需求
2. 难以估计的工作量
3. 不切实际的进度估算与安排
4. 成本与资金问题
5. 不可行的设计
6. 不成熟的技术
7. 无法解决或获得的技术
8. 人员配备不够
9. 人员的技能不够
10. 人员的不稳定
11. 不可靠或不充分的分包商能力
12. 不可靠或不充分的供应商能力
13. 与实际的或潜在的客户沟通不充分
14. 客户配套环境依赖严重问题
15. 环境问题，如天气或自然灾害、政治变化或电信网络故障等导致业务持续性的中断 
16. 不安全的信息存储、处理和传输
17. 监管约束
</t>
        </r>
      </text>
    </comment>
  </commentList>
</comments>
</file>

<file path=xl/comments2.xml><?xml version="1.0" encoding="utf-8"?>
<comments xmlns="http://schemas.openxmlformats.org/spreadsheetml/2006/main">
  <authors>
    <author>zq</author>
  </authors>
  <commentList>
    <comment ref="H4" authorId="0">
      <text>
        <r>
          <rPr>
            <b/>
            <sz val="9"/>
            <rFont val="宋体"/>
            <charset val="134"/>
          </rPr>
          <t>zq:</t>
        </r>
        <r>
          <rPr>
            <sz val="9"/>
            <rFont val="宋体"/>
            <charset val="134"/>
          </rPr>
          <t xml:space="preserve">
可能性等级 分值   机会发生的概率
高           3    70%&lt;可能性&lt;100%
中           2    30%&lt;可能性&lt;70%
低           1    0%&lt;可能性&lt;30%
</t>
        </r>
      </text>
    </comment>
    <comment ref="K4" authorId="0">
      <text>
        <r>
          <rPr>
            <b/>
            <sz val="9"/>
            <rFont val="宋体"/>
            <charset val="134"/>
          </rPr>
          <t>wyy:</t>
        </r>
        <r>
          <rPr>
            <sz val="9"/>
            <rFont val="宋体"/>
            <charset val="134"/>
          </rPr>
          <t xml:space="preserve">
机会价值 = 机会发生可能性 × （机会预期收益/ 机会预期成本）</t>
        </r>
      </text>
    </comment>
    <comment ref="L4" authorId="0">
      <text>
        <r>
          <rPr>
            <b/>
            <sz val="9"/>
            <rFont val="宋体"/>
            <charset val="134"/>
          </rPr>
          <t>zq:</t>
        </r>
        <r>
          <rPr>
            <sz val="9"/>
            <rFont val="宋体"/>
            <charset val="134"/>
          </rPr>
          <t xml:space="preserve">
机会优先级对应的机会价值的数值范围，应
根据组织特征自行定义</t>
        </r>
      </text>
    </comment>
    <comment ref="O4" authorId="0">
      <text>
        <r>
          <rPr>
            <b/>
            <sz val="9"/>
            <rFont val="宋体"/>
            <charset val="134"/>
          </rPr>
          <t>zq:</t>
        </r>
        <r>
          <rPr>
            <sz val="9"/>
            <rFont val="宋体"/>
            <charset val="134"/>
          </rPr>
          <t xml:space="preserve">
 机会利用计划包括：
   成本效益分析
 成功可能性分析
 准备活动
 利用机会所需的行动措施
</t>
        </r>
      </text>
    </comment>
    <comment ref="C5" authorId="0">
      <text>
        <r>
          <rPr>
            <sz val="9"/>
            <rFont val="宋体"/>
            <charset val="134"/>
          </rPr>
          <t xml:space="preserve">
常见的机会来源包含以下几个方面：
1. 前瞻性的、不确定的需求
2. 客户的反馈和新的需求
3. 前瞻性的、不成熟的实现技术
4. 超前的进度压力
5. 客户严苛的质量要求
6. 被严格控制的成本
7. 需要大量投入成本
8. 充足的资金
9. 行业内可复用的新技术
10. 国家政策、法律法规、行业规定的有利影响
11. 合作伙伴新商机
12. 良好的产品市场前景
13. 供应商规模扩大
14. 竞争对手财务、人才等危机
15. 引入关键人才的可能性</t>
        </r>
        <r>
          <rPr>
            <b/>
            <sz val="9"/>
            <rFont val="宋体"/>
            <charset val="134"/>
          </rPr>
          <t xml:space="preserve">
</t>
        </r>
        <r>
          <rPr>
            <sz val="9"/>
            <rFont val="宋体"/>
            <charset val="134"/>
          </rPr>
          <t xml:space="preserve">
</t>
        </r>
      </text>
    </comment>
  </commentList>
</comments>
</file>

<file path=xl/sharedStrings.xml><?xml version="1.0" encoding="utf-8"?>
<sst xmlns="http://schemas.openxmlformats.org/spreadsheetml/2006/main" count="296" uniqueCount="216">
  <si>
    <t>xxx项目风险机会列表</t>
  </si>
  <si>
    <t>使用目的：</t>
  </si>
  <si>
    <t>本表为研发项目提供项目在初期进行风险和机会计划、识别和后续执行阶段进行跟踪而使用的模板</t>
  </si>
  <si>
    <t>适用范围：</t>
  </si>
  <si>
    <t>所有部署了风险和机会管理流程的研发项目，在整个项目的生命周期内使用</t>
  </si>
  <si>
    <t>使用方法：</t>
  </si>
  <si>
    <t>依次按照工作表进行填写。工作表内固化的斜体部分的内容为可以参考的最佳实践。项目组实际填写时应按照项目的实际情况进行填写。</t>
  </si>
  <si>
    <t>修订历史</t>
  </si>
  <si>
    <t>版本</t>
  </si>
  <si>
    <t>日期</t>
  </si>
  <si>
    <t>更改原因、内容、位置（页/段落/章节号）等简述</t>
  </si>
  <si>
    <t>作者</t>
  </si>
  <si>
    <t>审核人</t>
  </si>
  <si>
    <t>批准人</t>
  </si>
  <si>
    <t>V1.0</t>
  </si>
  <si>
    <t>2020/10/22</t>
  </si>
  <si>
    <t>王元元</t>
  </si>
  <si>
    <t>EPG</t>
  </si>
  <si>
    <t>V1.1</t>
  </si>
  <si>
    <t>2025/12/10</t>
  </si>
  <si>
    <t>"风险计划跟踪日期"改为“风险跟踪日期”，“机会利用计划跟踪日期"改为“机会利用跟踪日期”</t>
  </si>
  <si>
    <t>杨威</t>
  </si>
  <si>
    <t>说明：本模板中的机会利用计划策略参照示例</t>
  </si>
  <si>
    <t>机会优先级</t>
  </si>
  <si>
    <t>对应机会价值数值范围</t>
  </si>
  <si>
    <t>计划措施</t>
  </si>
  <si>
    <t>管理计划审批要求</t>
  </si>
  <si>
    <t>高</t>
  </si>
  <si>
    <t>机会价值≥30</t>
  </si>
  <si>
    <t>机会利用计划</t>
  </si>
  <si>
    <t>具体行动措施需中高层经理批准</t>
  </si>
  <si>
    <t>中</t>
  </si>
  <si>
    <t>10≥机会价值&gt;30</t>
  </si>
  <si>
    <t>具体行动措施由PM批准</t>
  </si>
  <si>
    <t>低</t>
  </si>
  <si>
    <t>机会价值&lt;10</t>
  </si>
  <si>
    <t>可以不制订计划</t>
  </si>
  <si>
    <t>可以不制定行动措施</t>
  </si>
  <si>
    <t>机会价值数</t>
  </si>
  <si>
    <t>机会价值 =机会发生可能性 × （机会预期收益/ 机会预期成本）</t>
  </si>
  <si>
    <t>机会利用方式</t>
  </si>
  <si>
    <t>利用方式包括采取行动，在不增加成本的情况下最大限度地增加机会所能带来的效益。但是利用通常会增加相对较少的成本，但会带来相对较高的收益水平。</t>
  </si>
  <si>
    <t>选择处理机会的方式一般采取以下几种：</t>
  </si>
  <si>
    <r>
      <rPr>
        <sz val="10.5"/>
        <rFont val="微软雅黑"/>
        <charset val="134"/>
      </rPr>
      <t>1.</t>
    </r>
    <r>
      <rPr>
        <sz val="7"/>
        <rFont val="微软雅黑"/>
        <charset val="134"/>
      </rPr>
      <t xml:space="preserve">   </t>
    </r>
    <r>
      <rPr>
        <sz val="10.5"/>
        <rFont val="微软雅黑"/>
        <charset val="134"/>
      </rPr>
      <t>创造机会：增加机会发生的概率、影响等方面来促进机会的达成。</t>
    </r>
  </si>
  <si>
    <r>
      <rPr>
        <sz val="10.5"/>
        <rFont val="微软雅黑"/>
        <charset val="134"/>
      </rPr>
      <t>2.</t>
    </r>
    <r>
      <rPr>
        <sz val="7"/>
        <rFont val="微软雅黑"/>
        <charset val="134"/>
      </rPr>
      <t xml:space="preserve">   </t>
    </r>
    <r>
      <rPr>
        <sz val="10.5"/>
        <rFont val="微软雅黑"/>
        <charset val="134"/>
      </rPr>
      <t>利用机会：适当的时机把握住对目标实现有利影响的现象。</t>
    </r>
  </si>
  <si>
    <r>
      <rPr>
        <sz val="10.5"/>
        <rFont val="微软雅黑"/>
        <charset val="134"/>
      </rPr>
      <t>3.</t>
    </r>
    <r>
      <rPr>
        <sz val="7"/>
        <rFont val="微软雅黑"/>
        <charset val="134"/>
      </rPr>
      <t xml:space="preserve">   </t>
    </r>
    <r>
      <rPr>
        <sz val="10.5"/>
        <rFont val="微软雅黑"/>
        <charset val="134"/>
      </rPr>
      <t>转移机会：把即将或已出现的机会重新分配到别的目标或事物上。</t>
    </r>
  </si>
  <si>
    <r>
      <rPr>
        <sz val="10.5"/>
        <rFont val="微软雅黑"/>
        <charset val="134"/>
      </rPr>
      <t>4.</t>
    </r>
    <r>
      <rPr>
        <sz val="7"/>
        <rFont val="微软雅黑"/>
        <charset val="134"/>
      </rPr>
      <t xml:space="preserve">   </t>
    </r>
    <r>
      <rPr>
        <sz val="10.5"/>
        <rFont val="微软雅黑"/>
        <charset val="134"/>
      </rPr>
      <t>监督机会：跟踪已识别的机会，定期重新定义机会的参数，根据机会参数变化情况判断机会，最大限度保证机会的持续关注度。</t>
    </r>
  </si>
  <si>
    <r>
      <rPr>
        <sz val="10.5"/>
        <rFont val="微软雅黑"/>
        <charset val="134"/>
      </rPr>
      <t>5.</t>
    </r>
    <r>
      <rPr>
        <sz val="7"/>
        <rFont val="微软雅黑"/>
        <charset val="134"/>
      </rPr>
      <t xml:space="preserve">   </t>
    </r>
    <r>
      <rPr>
        <sz val="10.5"/>
        <rFont val="微软雅黑"/>
        <charset val="134"/>
      </rPr>
      <t>增强机会：采取适当行动措施增强机会发生的可能性。</t>
    </r>
  </si>
  <si>
    <t xml:space="preserve"> 机会利用计划</t>
  </si>
  <si>
    <t>通常为选定的高优先级的机会制订利用计划。这些计划包括：</t>
  </si>
  <si>
    <r>
      <rPr>
        <sz val="10.5"/>
        <rFont val="微软雅黑"/>
        <charset val="134"/>
      </rPr>
      <t>Ø</t>
    </r>
    <r>
      <rPr>
        <sz val="7"/>
        <rFont val="微软雅黑"/>
        <charset val="134"/>
      </rPr>
      <t xml:space="preserve">  </t>
    </r>
    <r>
      <rPr>
        <sz val="10.5"/>
        <rFont val="微软雅黑"/>
        <charset val="134"/>
      </rPr>
      <t>成本效益分析</t>
    </r>
  </si>
  <si>
    <r>
      <rPr>
        <sz val="10.5"/>
        <rFont val="微软雅黑"/>
        <charset val="134"/>
      </rPr>
      <t>Ø</t>
    </r>
    <r>
      <rPr>
        <sz val="7"/>
        <rFont val="微软雅黑"/>
        <charset val="134"/>
      </rPr>
      <t xml:space="preserve">  </t>
    </r>
    <r>
      <rPr>
        <sz val="10.5"/>
        <rFont val="微软雅黑"/>
        <charset val="134"/>
      </rPr>
      <t>成功可能性分析</t>
    </r>
  </si>
  <si>
    <r>
      <rPr>
        <sz val="10.5"/>
        <rFont val="微软雅黑"/>
        <charset val="134"/>
      </rPr>
      <t>Ø</t>
    </r>
    <r>
      <rPr>
        <sz val="7"/>
        <rFont val="微软雅黑"/>
        <charset val="134"/>
      </rPr>
      <t xml:space="preserve">  </t>
    </r>
    <r>
      <rPr>
        <sz val="10.5"/>
        <rFont val="微软雅黑"/>
        <charset val="134"/>
      </rPr>
      <t>准备活动</t>
    </r>
  </si>
  <si>
    <r>
      <rPr>
        <sz val="10.5"/>
        <rFont val="微软雅黑"/>
        <charset val="134"/>
      </rPr>
      <t>Ø</t>
    </r>
    <r>
      <rPr>
        <sz val="7"/>
        <rFont val="微软雅黑"/>
        <charset val="134"/>
      </rPr>
      <t xml:space="preserve">  </t>
    </r>
    <r>
      <rPr>
        <sz val="10.5"/>
        <rFont val="微软雅黑"/>
        <charset val="134"/>
      </rPr>
      <t>利用机会所需的行动措施</t>
    </r>
  </si>
  <si>
    <t>说明：本模板中风险的处理策略参照示例</t>
  </si>
  <si>
    <r>
      <rPr>
        <b/>
        <sz val="10.5"/>
        <rFont val="微软雅黑"/>
        <charset val="134"/>
      </rPr>
      <t>风险</t>
    </r>
    <r>
      <rPr>
        <b/>
        <sz val="10.5"/>
        <color rgb="FF000000"/>
        <rFont val="微软雅黑"/>
        <charset val="134"/>
      </rPr>
      <t>优先级</t>
    </r>
  </si>
  <si>
    <t>对应风险优先数范围</t>
  </si>
  <si>
    <t>风险接受度</t>
  </si>
  <si>
    <t>适用的风险管理计划类型</t>
  </si>
  <si>
    <t>风险处置方法</t>
  </si>
  <si>
    <r>
      <rPr>
        <sz val="10.5"/>
        <rFont val="微软雅黑"/>
        <charset val="134"/>
      </rPr>
      <t>≥</t>
    </r>
    <r>
      <rPr>
        <sz val="10.5"/>
        <color rgb="FF333333"/>
        <rFont val="微软雅黑"/>
        <charset val="134"/>
      </rPr>
      <t>72</t>
    </r>
  </si>
  <si>
    <t>不可接受</t>
  </si>
  <si>
    <t>风险应急计划、风险缓解计划</t>
  </si>
  <si>
    <t>规避、控制、转移、监督</t>
  </si>
  <si>
    <t>Unacceptable</t>
  </si>
  <si>
    <t>36－72</t>
  </si>
  <si>
    <t>不可取,不利</t>
  </si>
  <si>
    <t>风险缓解计划</t>
  </si>
  <si>
    <t>Undesirable</t>
  </si>
  <si>
    <r>
      <rPr>
        <sz val="10.5"/>
        <rFont val="微软雅黑"/>
        <charset val="134"/>
      </rPr>
      <t>≤</t>
    </r>
    <r>
      <rPr>
        <sz val="10.5"/>
        <color rgb="FF333333"/>
        <rFont val="微软雅黑"/>
        <charset val="134"/>
      </rPr>
      <t>36</t>
    </r>
  </si>
  <si>
    <t>可接受</t>
  </si>
  <si>
    <t>风险缓解计划（可选）</t>
  </si>
  <si>
    <t>接受、监督、控制、转移、规避</t>
  </si>
  <si>
    <t>Acceptable</t>
  </si>
  <si>
    <t>其中的风险优先级及其涉及的参数（严重性、可能性、紧迫性）、风险处置方法见下表的定义。</t>
  </si>
  <si>
    <t>风险优先值 ＝ 风险严重性 × 风险发生可能性 × 风险紧迫性
得出的优先数值有：162,108,72,54，48,36,24,18,12,6</t>
  </si>
  <si>
    <t>风险优先级</t>
  </si>
  <si>
    <t>对应风险优先数值范围</t>
  </si>
  <si>
    <t>&lt;36</t>
  </si>
  <si>
    <t>风险影响严重程度定义准则</t>
  </si>
  <si>
    <t>严重性</t>
  </si>
  <si>
    <t>分值</t>
  </si>
  <si>
    <t>风险发生时产生的影响和严重程度说明</t>
  </si>
  <si>
    <t>触发阈值举例</t>
  </si>
  <si>
    <t>该风险将导致无法按已经向客户承诺的质量或交付期完成；</t>
  </si>
  <si>
    <r>
      <rPr>
        <sz val="10.5"/>
        <rFont val="微软雅黑"/>
        <charset val="134"/>
      </rPr>
      <t>Ø</t>
    </r>
    <r>
      <rPr>
        <sz val="7"/>
        <rFont val="微软雅黑"/>
        <charset val="134"/>
      </rPr>
      <t xml:space="preserve">  </t>
    </r>
    <r>
      <rPr>
        <sz val="10.5"/>
        <rFont val="微软雅黑"/>
        <charset val="134"/>
      </rPr>
      <t>进度拖延&gt;20%</t>
    </r>
  </si>
  <si>
    <t>或该风险将导致项目终止</t>
  </si>
  <si>
    <r>
      <rPr>
        <sz val="10.5"/>
        <rFont val="微软雅黑"/>
        <charset val="134"/>
      </rPr>
      <t>Ø</t>
    </r>
    <r>
      <rPr>
        <sz val="7"/>
        <rFont val="微软雅黑"/>
        <charset val="134"/>
      </rPr>
      <t xml:space="preserve">  </t>
    </r>
    <r>
      <rPr>
        <sz val="10.5"/>
        <rFont val="微软雅黑"/>
        <charset val="134"/>
      </rPr>
      <t>费用超支&gt;25%</t>
    </r>
  </si>
  <si>
    <r>
      <rPr>
        <sz val="10.5"/>
        <color rgb="FF000000"/>
        <rFont val="微软雅黑"/>
        <charset val="134"/>
      </rPr>
      <t>Ø</t>
    </r>
    <r>
      <rPr>
        <sz val="7"/>
        <color rgb="FF000000"/>
        <rFont val="微软雅黑"/>
        <charset val="134"/>
      </rPr>
      <t xml:space="preserve">  </t>
    </r>
    <r>
      <rPr>
        <sz val="10.5"/>
        <rFont val="微软雅黑"/>
        <charset val="134"/>
      </rPr>
      <t>关键岗位人员离职率&gt;30%</t>
    </r>
  </si>
  <si>
    <r>
      <rPr>
        <sz val="10.5"/>
        <rFont val="微软雅黑"/>
        <charset val="134"/>
      </rPr>
      <t>该风险将导致项目超过预计工时</t>
    </r>
    <r>
      <rPr>
        <vertAlign val="superscript"/>
        <sz val="10.5"/>
        <rFont val="微软雅黑"/>
        <charset val="134"/>
      </rPr>
      <t>注1</t>
    </r>
    <r>
      <rPr>
        <sz val="10.5"/>
        <rFont val="微软雅黑"/>
        <charset val="134"/>
      </rPr>
      <t>，项目组需要加班甚至通宵才能完成。</t>
    </r>
  </si>
  <si>
    <r>
      <rPr>
        <sz val="10.5"/>
        <rFont val="微软雅黑"/>
        <charset val="134"/>
      </rPr>
      <t>Ø</t>
    </r>
    <r>
      <rPr>
        <sz val="7"/>
        <rFont val="微软雅黑"/>
        <charset val="134"/>
      </rPr>
      <t xml:space="preserve">  </t>
    </r>
    <r>
      <rPr>
        <sz val="10.5"/>
        <rFont val="微软雅黑"/>
        <charset val="134"/>
      </rPr>
      <t>进度拖延10%--20%</t>
    </r>
  </si>
  <si>
    <r>
      <rPr>
        <sz val="10.5"/>
        <rFont val="微软雅黑"/>
        <charset val="134"/>
      </rPr>
      <t>Ø</t>
    </r>
    <r>
      <rPr>
        <sz val="7"/>
        <rFont val="微软雅黑"/>
        <charset val="134"/>
      </rPr>
      <t xml:space="preserve">  </t>
    </r>
    <r>
      <rPr>
        <sz val="10.5"/>
        <rFont val="微软雅黑"/>
        <charset val="134"/>
      </rPr>
      <t>费用超支10%--25%</t>
    </r>
  </si>
  <si>
    <r>
      <rPr>
        <sz val="10.5"/>
        <rFont val="微软雅黑"/>
        <charset val="134"/>
      </rPr>
      <t>Ø</t>
    </r>
    <r>
      <rPr>
        <sz val="7"/>
        <rFont val="微软雅黑"/>
        <charset val="134"/>
      </rPr>
      <t xml:space="preserve">  </t>
    </r>
    <r>
      <rPr>
        <sz val="10.5"/>
        <rFont val="微软雅黑"/>
        <charset val="134"/>
      </rPr>
      <t>人员离职率&gt;30</t>
    </r>
  </si>
  <si>
    <t>该风险不影响项目正常进行，但需要作相应调整：相互关系、工作安排以及人员构成等。</t>
  </si>
  <si>
    <r>
      <rPr>
        <sz val="10.5"/>
        <color rgb="FF000000"/>
        <rFont val="微软雅黑"/>
        <charset val="134"/>
      </rPr>
      <t>注</t>
    </r>
    <r>
      <rPr>
        <sz val="10.5"/>
        <rFont val="微软雅黑"/>
        <charset val="134"/>
      </rPr>
      <t>1：这里是以不降低质量要求为前提条件。</t>
    </r>
  </si>
  <si>
    <t>风险和机会发生可能性定义准则</t>
  </si>
  <si>
    <t>风险紧迫性定义准则</t>
  </si>
  <si>
    <t>可能性等级</t>
  </si>
  <si>
    <t>风险/机会发生可能性等级说明（风险发生的概率）</t>
  </si>
  <si>
    <t>紧迫性</t>
  </si>
  <si>
    <t>风险紧迫程度说明（发生时间）</t>
  </si>
  <si>
    <t>70%&lt;可能性&lt;100%</t>
  </si>
  <si>
    <t>风险将可能近期发生</t>
  </si>
  <si>
    <t>30%&lt;可能性&lt;70%</t>
  </si>
  <si>
    <t>风险可能稍远发生</t>
  </si>
  <si>
    <t>0%&lt;可能性&lt;30%</t>
  </si>
  <si>
    <t>风险远期才可能发生</t>
  </si>
  <si>
    <t>类型</t>
  </si>
  <si>
    <t>计划类型描述</t>
  </si>
  <si>
    <t>主动型/</t>
  </si>
  <si>
    <t>适用风险优先级</t>
  </si>
  <si>
    <t>被动型</t>
  </si>
  <si>
    <t>阐述了如何减少风险发生的可能性或影响，是主动式的降低风险发生的潜在影响。它们的作用是通过缓解行动，使风险尽可能不发生。</t>
  </si>
  <si>
    <t>主动降低风险发生的潜在影响。</t>
  </si>
  <si>
    <t>所有风险等级</t>
  </si>
  <si>
    <t>风险应急计划</t>
  </si>
  <si>
    <t>旨在应对当缓解措施未能阻止该风险的发生时所造成的影响。计划描述当风险发生时项目可以采取的措施。</t>
  </si>
  <si>
    <t>被动式的应急处理，使风险发生后对项目的影响尽可能小。</t>
  </si>
  <si>
    <t>仅针对已选择的风险等级“高”或不可接受的风险</t>
  </si>
  <si>
    <t>风险的处置方式</t>
  </si>
  <si>
    <t>选择处理风险的方式（也称风险缓解方式）一般采取以下几种：</t>
  </si>
  <si>
    <r>
      <rPr>
        <sz val="10.5"/>
        <rFont val="微软雅黑"/>
        <charset val="134"/>
      </rPr>
      <t>1.</t>
    </r>
    <r>
      <rPr>
        <sz val="7"/>
        <rFont val="微软雅黑"/>
        <charset val="134"/>
      </rPr>
      <t xml:space="preserve">   </t>
    </r>
    <r>
      <rPr>
        <sz val="10.5"/>
        <rFont val="微软雅黑"/>
        <charset val="134"/>
      </rPr>
      <t>规避风险：变更或降低需求，但仍符合最终用户的需要。</t>
    </r>
  </si>
  <si>
    <r>
      <rPr>
        <sz val="10.5"/>
        <rFont val="微软雅黑"/>
        <charset val="134"/>
      </rPr>
      <t>2.</t>
    </r>
    <r>
      <rPr>
        <sz val="7"/>
        <rFont val="微软雅黑"/>
        <charset val="134"/>
      </rPr>
      <t xml:space="preserve">   </t>
    </r>
    <r>
      <rPr>
        <sz val="10.5"/>
        <rFont val="微软雅黑"/>
        <charset val="134"/>
      </rPr>
      <t>控制风险：采取积极措施使风险最小化。</t>
    </r>
  </si>
  <si>
    <r>
      <rPr>
        <sz val="10.5"/>
        <rFont val="微软雅黑"/>
        <charset val="134"/>
      </rPr>
      <t>3.</t>
    </r>
    <r>
      <rPr>
        <sz val="7"/>
        <rFont val="微软雅黑"/>
        <charset val="134"/>
      </rPr>
      <t xml:space="preserve">   </t>
    </r>
    <r>
      <rPr>
        <sz val="10.5"/>
        <rFont val="微软雅黑"/>
        <charset val="134"/>
      </rPr>
      <t>转移风险：重新分配需求以降低风险。</t>
    </r>
  </si>
  <si>
    <r>
      <rPr>
        <sz val="10.5"/>
        <rFont val="微软雅黑"/>
        <charset val="134"/>
      </rPr>
      <t>4.</t>
    </r>
    <r>
      <rPr>
        <sz val="7"/>
        <rFont val="微软雅黑"/>
        <charset val="134"/>
      </rPr>
      <t xml:space="preserve">   </t>
    </r>
    <r>
      <rPr>
        <sz val="10.5"/>
        <rFont val="微软雅黑"/>
        <charset val="134"/>
      </rPr>
      <t>监督风险：关注风险并定期重新评价其在制定参数上的变化。</t>
    </r>
  </si>
  <si>
    <r>
      <rPr>
        <sz val="10.5"/>
        <rFont val="微软雅黑"/>
        <charset val="134"/>
      </rPr>
      <t>5.</t>
    </r>
    <r>
      <rPr>
        <sz val="7"/>
        <rFont val="微软雅黑"/>
        <charset val="134"/>
      </rPr>
      <t xml:space="preserve">   </t>
    </r>
    <r>
      <rPr>
        <sz val="10.5"/>
        <rFont val="微软雅黑"/>
        <charset val="134"/>
      </rPr>
      <t>接受风险：承认风险但不采取行动措施。</t>
    </r>
  </si>
  <si>
    <t>  风险和机会管理计划</t>
  </si>
  <si>
    <t>活动名称</t>
  </si>
  <si>
    <t>执行方式</t>
  </si>
  <si>
    <t>执行频率</t>
  </si>
  <si>
    <t>执行人员</t>
  </si>
  <si>
    <t>识别风险和机会</t>
  </si>
  <si>
    <t>项目策划阶段执行首次识别；
敏捷模式在迭代计划会议上识别；</t>
  </si>
  <si>
    <t>项目计划阶段
每个里程碑阶段
每个敏捷迭代计划会议时</t>
  </si>
  <si>
    <t>项目经理:XXX
项目组成员</t>
  </si>
  <si>
    <t>分析风险和机会</t>
  </si>
  <si>
    <t>每次风险识别后，项目经理协相关共利益者进行风险分析；</t>
  </si>
  <si>
    <t>制定风险和机会管理计划</t>
  </si>
  <si>
    <t>项目策划阶段由项目经理制定初步的风险和机会管理计划；
之后视风险和机会的变更情况持续更新；</t>
  </si>
  <si>
    <t>项目策划阶段
后续定期持续更新</t>
  </si>
  <si>
    <t>项目经理:XXX</t>
  </si>
  <si>
    <t>监控风险</t>
  </si>
  <si>
    <r>
      <rPr>
        <i/>
        <sz val="11"/>
        <color rgb="FFFF0000"/>
        <rFont val="宋体"/>
        <charset val="134"/>
      </rPr>
      <t xml:space="preserve">
在里程碑总结阶段，对所有风险和机会进行全面的监督和控制，检查每个风险和机会项的状况和行动措施的执行情况；并视情况识别新的风险和机会；
敏捷模式在迭代回顾会议上</t>
    </r>
    <r>
      <rPr>
        <i/>
        <sz val="11"/>
        <color rgb="FFFF0000"/>
        <rFont val="Times New Roman"/>
        <charset val="134"/>
      </rPr>
      <t xml:space="preserve"> </t>
    </r>
    <r>
      <rPr>
        <i/>
        <sz val="11"/>
        <color rgb="FFFF0000"/>
        <rFont val="宋体"/>
        <charset val="134"/>
      </rPr>
      <t>要对所有风险和机会进行全面的监督和控制，检查每个风险和机会项的状况和行动措施的执行情况；并视情况识别新的风险和机会；</t>
    </r>
  </si>
  <si>
    <t xml:space="preserve">
每个里程碑阶段
每个敏捷迭代回顾会议时</t>
  </si>
  <si>
    <t>项目经理:XXX
项目组成员
风险责任人</t>
  </si>
  <si>
    <t>风险通报和交流</t>
  </si>
  <si>
    <t>在公司或部门级的项目例会上或定期举行，通报、交流已识别风险的状态。</t>
  </si>
  <si>
    <t>公司或部门级的项目例会上
或定期举行</t>
  </si>
  <si>
    <t>风险和机会的上交、分享</t>
  </si>
  <si>
    <t>项目结项时，上交风险和机会相关记录到组织级；
组织级在更新后分享给整个组织范围内的项目组。</t>
  </si>
  <si>
    <t>项目结项时</t>
  </si>
  <si>
    <t>项目经理:XXX
EPG Lead</t>
  </si>
  <si>
    <t>&lt;XXX&gt;项目风险列表</t>
  </si>
  <si>
    <t>注：每条风险在定期跟踪之后，必须留下一条独立的记录。</t>
  </si>
  <si>
    <t>风险特征</t>
  </si>
  <si>
    <t>风险评价</t>
  </si>
  <si>
    <t>风险计划、管理</t>
  </si>
  <si>
    <t>风险编号</t>
  </si>
  <si>
    <t>识别日期</t>
  </si>
  <si>
    <t>风险描述</t>
  </si>
  <si>
    <t>风险责任人</t>
  </si>
  <si>
    <t>可能性</t>
  </si>
  <si>
    <t>优先数</t>
  </si>
  <si>
    <t>优先级</t>
  </si>
  <si>
    <t>风险跟踪日期</t>
  </si>
  <si>
    <t>风险处置方式</t>
  </si>
  <si>
    <t>计划责任人</t>
  </si>
  <si>
    <t>风险计划实施日期</t>
  </si>
  <si>
    <t>风险状态</t>
  </si>
  <si>
    <t>风险来源</t>
  </si>
  <si>
    <t>风险类别</t>
  </si>
  <si>
    <t>风险背景描述</t>
  </si>
  <si>
    <t>质量风险</t>
  </si>
  <si>
    <t>控制</t>
  </si>
  <si>
    <t>1.触发条件
2.行动措施</t>
  </si>
  <si>
    <t>优先级为高的必须计划应急计划</t>
  </si>
  <si>
    <t>新增</t>
  </si>
  <si>
    <t>未发生-预防中</t>
  </si>
  <si>
    <t>不利</t>
  </si>
  <si>
    <t>&lt;XXX&gt;项目机会列表</t>
  </si>
  <si>
    <t>注：每条机会在定期跟踪之后，必须留下一条独立的记录。</t>
  </si>
  <si>
    <t>机会特征</t>
  </si>
  <si>
    <t>机会判断</t>
  </si>
  <si>
    <t>机会利用计划、管理</t>
  </si>
  <si>
    <t>机会编号</t>
  </si>
  <si>
    <t>机会描述</t>
  </si>
  <si>
    <t>机会
责任人</t>
  </si>
  <si>
    <t>机会的预期效益</t>
  </si>
  <si>
    <t>机会的预期成本</t>
  </si>
  <si>
    <t>机会价值</t>
  </si>
  <si>
    <t>机会利用跟踪日期</t>
  </si>
  <si>
    <t>机会处置方式</t>
  </si>
  <si>
    <t>计划实施日期</t>
  </si>
  <si>
    <t>机会状态</t>
  </si>
  <si>
    <t>机会来源</t>
  </si>
  <si>
    <t>机会类别</t>
  </si>
  <si>
    <t>机会背景描述</t>
  </si>
  <si>
    <t>市场机会</t>
  </si>
  <si>
    <t>创造机会</t>
  </si>
  <si>
    <t>未出现</t>
  </si>
  <si>
    <t>监督机会</t>
  </si>
  <si>
    <t>已出现-未利用</t>
  </si>
  <si>
    <t>需求</t>
  </si>
  <si>
    <t>技术机会</t>
  </si>
  <si>
    <t>集成和测试</t>
  </si>
  <si>
    <t>交付</t>
  </si>
  <si>
    <t>开发过程支持</t>
  </si>
  <si>
    <t>开发环境</t>
  </si>
  <si>
    <t>开发基础设施</t>
  </si>
  <si>
    <t>管理能力和过程</t>
  </si>
  <si>
    <t>进度</t>
  </si>
  <si>
    <t>人力资源</t>
  </si>
  <si>
    <t>质量</t>
  </si>
  <si>
    <t>成本</t>
  </si>
  <si>
    <t>合同</t>
  </si>
  <si>
    <t>接口干系人</t>
  </si>
</sst>
</file>

<file path=xl/styles.xml><?xml version="1.0" encoding="utf-8"?>
<styleSheet xmlns="http://schemas.openxmlformats.org/spreadsheetml/2006/main">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s>
  <fonts count="52">
    <font>
      <sz val="12"/>
      <name val="宋体"/>
      <charset val="134"/>
    </font>
    <font>
      <sz val="12"/>
      <name val="微软雅黑"/>
      <charset val="134"/>
    </font>
    <font>
      <b/>
      <sz val="10"/>
      <name val="微软雅黑"/>
      <charset val="134"/>
    </font>
    <font>
      <sz val="10"/>
      <name val="微软雅黑"/>
      <charset val="134"/>
    </font>
    <font>
      <b/>
      <sz val="20"/>
      <name val="黑体"/>
      <charset val="134"/>
    </font>
    <font>
      <b/>
      <i/>
      <sz val="10"/>
      <color rgb="FFFF0000"/>
      <name val="微软雅黑"/>
      <charset val="134"/>
    </font>
    <font>
      <sz val="11"/>
      <name val="宋体"/>
      <charset val="134"/>
    </font>
    <font>
      <i/>
      <sz val="11"/>
      <color rgb="FFFF0000"/>
      <name val="宋体"/>
      <charset val="134"/>
    </font>
    <font>
      <sz val="11"/>
      <color theme="1"/>
      <name val="宋体"/>
      <charset val="134"/>
    </font>
    <font>
      <sz val="11"/>
      <name val="宋体"/>
      <charset val="134"/>
      <scheme val="minor"/>
    </font>
    <font>
      <i/>
      <sz val="11"/>
      <color rgb="FFFF0000"/>
      <name val="宋体"/>
      <charset val="134"/>
      <scheme val="minor"/>
    </font>
    <font>
      <sz val="11"/>
      <color theme="1"/>
      <name val="宋体"/>
      <charset val="134"/>
      <scheme val="minor"/>
    </font>
    <font>
      <b/>
      <i/>
      <sz val="11"/>
      <color rgb="FFFF0000"/>
      <name val="宋体"/>
      <charset val="134"/>
      <scheme val="minor"/>
    </font>
    <font>
      <b/>
      <sz val="11"/>
      <name val="宋体"/>
      <charset val="134"/>
      <scheme val="minor"/>
    </font>
    <font>
      <b/>
      <sz val="20"/>
      <color indexed="8"/>
      <name val="黑体"/>
      <charset val="134"/>
    </font>
    <font>
      <b/>
      <sz val="10"/>
      <color indexed="8"/>
      <name val="微软雅黑"/>
      <charset val="134"/>
    </font>
    <font>
      <i/>
      <sz val="11"/>
      <color rgb="FFFF0000"/>
      <name val="Wingdings"/>
      <charset val="2"/>
    </font>
    <font>
      <sz val="12"/>
      <color rgb="FFFF0000"/>
      <name val="微软雅黑"/>
      <charset val="134"/>
    </font>
    <font>
      <b/>
      <sz val="10.5"/>
      <name val="微软雅黑"/>
      <charset val="134"/>
    </font>
    <font>
      <b/>
      <sz val="10.5"/>
      <color rgb="FF000000"/>
      <name val="微软雅黑"/>
      <charset val="134"/>
    </font>
    <font>
      <sz val="10.5"/>
      <color rgb="FF333333"/>
      <name val="微软雅黑"/>
      <charset val="134"/>
    </font>
    <font>
      <sz val="10.5"/>
      <name val="微软雅黑"/>
      <charset val="134"/>
    </font>
    <font>
      <b/>
      <sz val="11"/>
      <name val="微软雅黑"/>
      <charset val="134"/>
    </font>
    <font>
      <sz val="10.5"/>
      <color rgb="FF000000"/>
      <name val="微软雅黑"/>
      <charset val="134"/>
    </font>
    <font>
      <b/>
      <sz val="12"/>
      <name val="微软雅黑"/>
      <charset val="134"/>
    </font>
    <font>
      <b/>
      <sz val="20"/>
      <color theme="1"/>
      <name val="黑体"/>
      <charset val="134"/>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sz val="10"/>
      <name val="Arial"/>
      <charset val="134"/>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i/>
      <sz val="11"/>
      <color rgb="FFFF0000"/>
      <name val="Times New Roman"/>
      <charset val="134"/>
    </font>
    <font>
      <sz val="7"/>
      <name val="微软雅黑"/>
      <charset val="134"/>
    </font>
    <font>
      <sz val="7"/>
      <color rgb="FF000000"/>
      <name val="微软雅黑"/>
      <charset val="134"/>
    </font>
    <font>
      <vertAlign val="superscript"/>
      <sz val="10.5"/>
      <name val="微软雅黑"/>
      <charset val="134"/>
    </font>
    <font>
      <sz val="9"/>
      <name val="宋体"/>
      <charset val="134"/>
    </font>
    <font>
      <b/>
      <sz val="9"/>
      <name val="宋体"/>
      <charset val="134"/>
    </font>
  </fonts>
  <fills count="40">
    <fill>
      <patternFill patternType="none"/>
    </fill>
    <fill>
      <patternFill patternType="gray125"/>
    </fill>
    <fill>
      <patternFill patternType="solid">
        <fgColor theme="4" tint="0.799951170384838"/>
        <bgColor indexed="64"/>
      </patternFill>
    </fill>
    <fill>
      <patternFill patternType="solid">
        <fgColor theme="9" tint="0.799951170384838"/>
        <bgColor indexed="64"/>
      </patternFill>
    </fill>
    <fill>
      <patternFill patternType="solid">
        <fgColor theme="7" tint="0.799951170384838"/>
        <bgColor indexed="64"/>
      </patternFill>
    </fill>
    <fill>
      <patternFill patternType="solid">
        <fgColor theme="0" tint="-0.14996795556505"/>
        <bgColor indexed="64"/>
      </patternFill>
    </fill>
    <fill>
      <patternFill patternType="solid">
        <fgColor rgb="FFD9D9D9"/>
        <bgColor indexed="64"/>
      </patternFill>
    </fill>
    <fill>
      <patternFill patternType="solid">
        <fgColor rgb="FFE7E6E6"/>
        <bgColor indexed="64"/>
      </patternFill>
    </fill>
    <fill>
      <patternFill patternType="solid">
        <fgColor theme="0" tint="-0.149937437055574"/>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49">
    <border>
      <left/>
      <right/>
      <top/>
      <bottom/>
      <diagonal/>
    </border>
    <border>
      <left/>
      <right/>
      <top style="medium">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medium">
        <color auto="1"/>
      </bottom>
      <diagonal/>
    </border>
    <border>
      <left style="thin">
        <color auto="1"/>
      </left>
      <right/>
      <top style="thin">
        <color auto="1"/>
      </top>
      <bottom/>
      <diagonal/>
    </border>
    <border>
      <left style="thin">
        <color auto="1"/>
      </left>
      <right/>
      <top/>
      <bottom style="thin">
        <color auto="1"/>
      </bottom>
      <diagonal/>
    </border>
    <border>
      <left style="thin">
        <color auto="1"/>
      </left>
      <right style="thin">
        <color auto="1"/>
      </right>
      <top style="thin">
        <color auto="1"/>
      </top>
      <bottom style="medium">
        <color auto="1"/>
      </bottom>
      <diagonal/>
    </border>
    <border>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right style="thin">
        <color auto="1"/>
      </right>
      <top/>
      <bottom style="thin">
        <color auto="1"/>
      </bottom>
      <diagonal/>
    </border>
    <border>
      <left style="medium">
        <color auto="1"/>
      </left>
      <right/>
      <top style="medium">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thin">
        <color auto="1"/>
      </left>
      <right/>
      <top style="medium">
        <color auto="1"/>
      </top>
      <bottom/>
      <diagonal/>
    </border>
    <border>
      <left/>
      <right style="thin">
        <color auto="1"/>
      </right>
      <top style="medium">
        <color auto="1"/>
      </top>
      <bottom/>
      <diagonal/>
    </border>
    <border>
      <left style="thin">
        <color auto="1"/>
      </left>
      <right/>
      <top style="thin">
        <color auto="1"/>
      </top>
      <bottom style="medium">
        <color auto="1"/>
      </bottom>
      <diagonal/>
    </border>
    <border>
      <left/>
      <right style="thin">
        <color auto="1"/>
      </right>
      <top style="thin">
        <color auto="1"/>
      </top>
      <bottom style="medium">
        <color auto="1"/>
      </bottom>
      <diagonal/>
    </border>
    <border>
      <left/>
      <right style="medium">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alignment vertical="center"/>
    </xf>
    <xf numFmtId="42" fontId="11" fillId="0" borderId="0" applyFont="0" applyFill="0" applyBorder="0" applyAlignment="0" applyProtection="0">
      <alignment vertical="center"/>
    </xf>
    <xf numFmtId="0" fontId="26" fillId="9" borderId="0" applyNumberFormat="0" applyBorder="0" applyAlignment="0" applyProtection="0">
      <alignment vertical="center"/>
    </xf>
    <xf numFmtId="0" fontId="27" fillId="10" borderId="41" applyNumberFormat="0" applyAlignment="0" applyProtection="0">
      <alignment vertical="center"/>
    </xf>
    <xf numFmtId="44" fontId="11" fillId="0" borderId="0" applyFont="0" applyFill="0" applyBorder="0" applyAlignment="0" applyProtection="0">
      <alignment vertical="center"/>
    </xf>
    <xf numFmtId="41" fontId="11" fillId="0" borderId="0" applyFont="0" applyFill="0" applyBorder="0" applyAlignment="0" applyProtection="0">
      <alignment vertical="center"/>
    </xf>
    <xf numFmtId="0" fontId="26" fillId="11" borderId="0" applyNumberFormat="0" applyBorder="0" applyAlignment="0" applyProtection="0">
      <alignment vertical="center"/>
    </xf>
    <xf numFmtId="0" fontId="28" fillId="12" borderId="0" applyNumberFormat="0" applyBorder="0" applyAlignment="0" applyProtection="0">
      <alignment vertical="center"/>
    </xf>
    <xf numFmtId="43" fontId="11" fillId="0" borderId="0" applyFont="0" applyFill="0" applyBorder="0" applyAlignment="0" applyProtection="0">
      <alignment vertical="center"/>
    </xf>
    <xf numFmtId="0" fontId="29" fillId="13" borderId="0" applyNumberFormat="0" applyBorder="0" applyAlignment="0" applyProtection="0">
      <alignment vertical="center"/>
    </xf>
    <xf numFmtId="0" fontId="30" fillId="0" borderId="0" applyNumberFormat="0" applyFill="0" applyBorder="0" applyAlignment="0" applyProtection="0">
      <alignment vertical="center"/>
    </xf>
    <xf numFmtId="9" fontId="11" fillId="0" borderId="0" applyFont="0" applyFill="0" applyBorder="0" applyAlignment="0" applyProtection="0">
      <alignment vertical="center"/>
    </xf>
    <xf numFmtId="0" fontId="31" fillId="0" borderId="0" applyNumberFormat="0" applyFill="0" applyBorder="0" applyAlignment="0" applyProtection="0">
      <alignment vertical="center"/>
    </xf>
    <xf numFmtId="0" fontId="0" fillId="0" borderId="0">
      <alignment vertical="center"/>
    </xf>
    <xf numFmtId="0" fontId="11" fillId="14" borderId="42" applyNumberFormat="0" applyFont="0" applyAlignment="0" applyProtection="0">
      <alignment vertical="center"/>
    </xf>
    <xf numFmtId="0" fontId="32" fillId="0" borderId="0"/>
    <xf numFmtId="0" fontId="29" fillId="15" borderId="0" applyNumberFormat="0" applyBorder="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7" fillId="0" borderId="43" applyNumberFormat="0" applyFill="0" applyAlignment="0" applyProtection="0">
      <alignment vertical="center"/>
    </xf>
    <xf numFmtId="0" fontId="38" fillId="0" borderId="43" applyNumberFormat="0" applyFill="0" applyAlignment="0" applyProtection="0">
      <alignment vertical="center"/>
    </xf>
    <xf numFmtId="0" fontId="29" fillId="16" borderId="0" applyNumberFormat="0" applyBorder="0" applyAlignment="0" applyProtection="0">
      <alignment vertical="center"/>
    </xf>
    <xf numFmtId="0" fontId="33" fillId="0" borderId="44" applyNumberFormat="0" applyFill="0" applyAlignment="0" applyProtection="0">
      <alignment vertical="center"/>
    </xf>
    <xf numFmtId="0" fontId="29" fillId="17" borderId="0" applyNumberFormat="0" applyBorder="0" applyAlignment="0" applyProtection="0">
      <alignment vertical="center"/>
    </xf>
    <xf numFmtId="0" fontId="39" fillId="18" borderId="45" applyNumberFormat="0" applyAlignment="0" applyProtection="0">
      <alignment vertical="center"/>
    </xf>
    <xf numFmtId="0" fontId="40" fillId="18" borderId="41" applyNumberFormat="0" applyAlignment="0" applyProtection="0">
      <alignment vertical="center"/>
    </xf>
    <xf numFmtId="0" fontId="41" fillId="19" borderId="46" applyNumberFormat="0" applyAlignment="0" applyProtection="0">
      <alignment vertical="center"/>
    </xf>
    <xf numFmtId="0" fontId="26" fillId="20" borderId="0" applyNumberFormat="0" applyBorder="0" applyAlignment="0" applyProtection="0">
      <alignment vertical="center"/>
    </xf>
    <xf numFmtId="0" fontId="29" fillId="21" borderId="0" applyNumberFormat="0" applyBorder="0" applyAlignment="0" applyProtection="0">
      <alignment vertical="center"/>
    </xf>
    <xf numFmtId="0" fontId="42" fillId="0" borderId="47" applyNumberFormat="0" applyFill="0" applyAlignment="0" applyProtection="0">
      <alignment vertical="center"/>
    </xf>
    <xf numFmtId="0" fontId="43" fillId="0" borderId="48" applyNumberFormat="0" applyFill="0" applyAlignment="0" applyProtection="0">
      <alignment vertical="center"/>
    </xf>
    <xf numFmtId="0" fontId="44" fillId="22" borderId="0" applyNumberFormat="0" applyBorder="0" applyAlignment="0" applyProtection="0">
      <alignment vertical="center"/>
    </xf>
    <xf numFmtId="0" fontId="45" fillId="23" borderId="0" applyNumberFormat="0" applyBorder="0" applyAlignment="0" applyProtection="0">
      <alignment vertical="center"/>
    </xf>
    <xf numFmtId="0" fontId="26" fillId="24" borderId="0" applyNumberFormat="0" applyBorder="0" applyAlignment="0" applyProtection="0">
      <alignment vertical="center"/>
    </xf>
    <xf numFmtId="0" fontId="29"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26" fillId="32" borderId="0" applyNumberFormat="0" applyBorder="0" applyAlignment="0" applyProtection="0">
      <alignment vertical="center"/>
    </xf>
    <xf numFmtId="0" fontId="26" fillId="33" borderId="0" applyNumberFormat="0" applyBorder="0" applyAlignment="0" applyProtection="0">
      <alignment vertical="center"/>
    </xf>
    <xf numFmtId="0" fontId="29" fillId="34" borderId="0" applyNumberFormat="0" applyBorder="0" applyAlignment="0" applyProtection="0">
      <alignment vertical="center"/>
    </xf>
    <xf numFmtId="0" fontId="26" fillId="35" borderId="0" applyNumberFormat="0" applyBorder="0" applyAlignment="0" applyProtection="0">
      <alignment vertical="center"/>
    </xf>
    <xf numFmtId="0" fontId="29" fillId="36" borderId="0" applyNumberFormat="0" applyBorder="0" applyAlignment="0" applyProtection="0">
      <alignment vertical="center"/>
    </xf>
    <xf numFmtId="0" fontId="29" fillId="37" borderId="0" applyNumberFormat="0" applyBorder="0" applyAlignment="0" applyProtection="0">
      <alignment vertical="center"/>
    </xf>
    <xf numFmtId="0" fontId="26" fillId="38" borderId="0" applyNumberFormat="0" applyBorder="0" applyAlignment="0" applyProtection="0">
      <alignment vertical="center"/>
    </xf>
    <xf numFmtId="0" fontId="29" fillId="39" borderId="0" applyNumberFormat="0" applyBorder="0" applyAlignment="0" applyProtection="0">
      <alignment vertical="center"/>
    </xf>
    <xf numFmtId="0" fontId="0" fillId="0" borderId="0"/>
  </cellStyleXfs>
  <cellXfs count="241">
    <xf numFmtId="0" fontId="0" fillId="0" borderId="0" xfId="0">
      <alignment vertical="center"/>
    </xf>
    <xf numFmtId="0" fontId="1" fillId="0" borderId="0" xfId="0" applyFont="1">
      <alignment vertical="center"/>
    </xf>
    <xf numFmtId="0" fontId="2" fillId="0" borderId="0" xfId="0" applyFont="1">
      <alignment vertical="center"/>
    </xf>
    <xf numFmtId="0" fontId="2" fillId="0" borderId="0" xfId="0" applyFont="1" applyAlignment="1">
      <alignment vertical="center" wrapText="1"/>
    </xf>
    <xf numFmtId="0" fontId="3" fillId="0" borderId="0" xfId="0" applyFont="1">
      <alignment vertical="center"/>
    </xf>
    <xf numFmtId="0" fontId="4" fillId="0" borderId="0" xfId="0" applyFont="1" applyBorder="1" applyAlignment="1">
      <alignment horizontal="center" vertical="center"/>
    </xf>
    <xf numFmtId="0" fontId="5" fillId="0" borderId="1" xfId="0" applyFont="1" applyBorder="1" applyAlignment="1">
      <alignment horizontal="left"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7" xfId="0" applyFont="1" applyFill="1" applyBorder="1" applyAlignment="1">
      <alignment horizontal="center" vertical="center"/>
    </xf>
    <xf numFmtId="0" fontId="6" fillId="0" borderId="3" xfId="0" applyFont="1" applyBorder="1" applyAlignment="1">
      <alignment horizontal="center" vertical="center"/>
    </xf>
    <xf numFmtId="0" fontId="7" fillId="0" borderId="3" xfId="0" applyFont="1" applyBorder="1" applyAlignment="1">
      <alignment horizontal="center" vertical="center"/>
    </xf>
    <xf numFmtId="0" fontId="6" fillId="0" borderId="8" xfId="0" applyFont="1" applyBorder="1" applyAlignment="1">
      <alignment horizontal="center" vertical="center"/>
    </xf>
    <xf numFmtId="0" fontId="7" fillId="0" borderId="8" xfId="0" applyFont="1" applyBorder="1" applyAlignment="1">
      <alignment horizontal="center" vertical="center"/>
    </xf>
    <xf numFmtId="0" fontId="8" fillId="0" borderId="3" xfId="0" applyFont="1" applyBorder="1" applyAlignment="1">
      <alignment horizontal="center" vertical="center"/>
    </xf>
    <xf numFmtId="0" fontId="8" fillId="0" borderId="8" xfId="0" applyFont="1" applyBorder="1" applyAlignment="1">
      <alignment horizontal="center" vertical="center"/>
    </xf>
    <xf numFmtId="0" fontId="6" fillId="0" borderId="9" xfId="0" applyFont="1" applyBorder="1" applyAlignment="1">
      <alignment horizontal="center" vertical="center"/>
    </xf>
    <xf numFmtId="0" fontId="8" fillId="0" borderId="9" xfId="0" applyFont="1" applyBorder="1" applyAlignment="1">
      <alignment horizontal="center" vertical="center"/>
    </xf>
    <xf numFmtId="0" fontId="2" fillId="3" borderId="4" xfId="0" applyFont="1" applyFill="1" applyBorder="1" applyAlignment="1">
      <alignment horizontal="center" vertical="center"/>
    </xf>
    <xf numFmtId="0" fontId="2" fillId="3" borderId="5" xfId="0" applyFont="1" applyFill="1" applyBorder="1" applyAlignment="1">
      <alignment horizontal="center" vertical="center"/>
    </xf>
    <xf numFmtId="0" fontId="2" fillId="4" borderId="7" xfId="0" applyFont="1" applyFill="1" applyBorder="1" applyAlignment="1">
      <alignment horizontal="center" vertical="center"/>
    </xf>
    <xf numFmtId="0" fontId="2" fillId="2" borderId="10"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2" fillId="4" borderId="7"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4" borderId="6" xfId="0" applyFont="1" applyFill="1" applyBorder="1" applyAlignment="1">
      <alignment horizontal="center" vertical="center" wrapText="1"/>
    </xf>
    <xf numFmtId="176" fontId="7" fillId="0" borderId="3" xfId="0" applyNumberFormat="1" applyFont="1" applyBorder="1" applyAlignment="1">
      <alignment horizontal="center" vertical="center"/>
    </xf>
    <xf numFmtId="176" fontId="7" fillId="5" borderId="3" xfId="0" applyNumberFormat="1" applyFont="1" applyFill="1" applyBorder="1" applyAlignment="1">
      <alignment horizontal="center" vertical="center"/>
    </xf>
    <xf numFmtId="0" fontId="7" fillId="5" borderId="3" xfId="0" applyFont="1" applyFill="1" applyBorder="1" applyAlignment="1">
      <alignment horizontal="center" vertical="center"/>
    </xf>
    <xf numFmtId="0" fontId="6" fillId="0" borderId="7" xfId="0" applyFont="1" applyBorder="1">
      <alignment vertical="center"/>
    </xf>
    <xf numFmtId="0" fontId="7" fillId="0" borderId="7" xfId="0" applyFont="1" applyBorder="1" applyAlignment="1">
      <alignment vertical="center" wrapText="1"/>
    </xf>
    <xf numFmtId="0" fontId="6" fillId="0" borderId="7" xfId="0" applyFont="1" applyBorder="1" applyAlignment="1">
      <alignment vertical="center" wrapText="1"/>
    </xf>
    <xf numFmtId="176" fontId="7" fillId="0" borderId="8" xfId="0" applyNumberFormat="1" applyFont="1" applyBorder="1" applyAlignment="1">
      <alignment horizontal="center" vertical="center"/>
    </xf>
    <xf numFmtId="176" fontId="7" fillId="5" borderId="8" xfId="0" applyNumberFormat="1" applyFont="1" applyFill="1" applyBorder="1" applyAlignment="1">
      <alignment horizontal="center" vertical="center"/>
    </xf>
    <xf numFmtId="0" fontId="7" fillId="5" borderId="8" xfId="0" applyFont="1" applyFill="1" applyBorder="1" applyAlignment="1">
      <alignment horizontal="center" vertical="center"/>
    </xf>
    <xf numFmtId="0" fontId="7" fillId="5" borderId="6" xfId="0" applyFont="1" applyFill="1" applyBorder="1" applyAlignment="1">
      <alignment horizontal="center" vertical="center"/>
    </xf>
    <xf numFmtId="176" fontId="6" fillId="0" borderId="3" xfId="0" applyNumberFormat="1" applyFont="1" applyBorder="1" applyAlignment="1">
      <alignment horizontal="center" vertical="center"/>
    </xf>
    <xf numFmtId="0" fontId="6" fillId="5" borderId="3" xfId="0" applyFont="1" applyFill="1" applyBorder="1" applyAlignment="1">
      <alignment horizontal="center" vertical="center"/>
    </xf>
    <xf numFmtId="176" fontId="6" fillId="0" borderId="8" xfId="0" applyNumberFormat="1" applyFont="1" applyBorder="1" applyAlignment="1">
      <alignment horizontal="center" vertical="center"/>
    </xf>
    <xf numFmtId="0" fontId="6" fillId="5" borderId="8" xfId="0" applyFont="1" applyFill="1" applyBorder="1" applyAlignment="1">
      <alignment horizontal="center" vertical="center"/>
    </xf>
    <xf numFmtId="0" fontId="6" fillId="5" borderId="6" xfId="0" applyFont="1" applyFill="1" applyBorder="1" applyAlignment="1">
      <alignment horizontal="center" vertical="center"/>
    </xf>
    <xf numFmtId="176" fontId="6" fillId="0" borderId="9" xfId="0" applyNumberFormat="1" applyFont="1" applyBorder="1" applyAlignment="1">
      <alignment horizontal="center" vertical="center"/>
    </xf>
    <xf numFmtId="0" fontId="6" fillId="5" borderId="9" xfId="0" applyFont="1" applyFill="1" applyBorder="1" applyAlignment="1">
      <alignment horizontal="center" vertical="center"/>
    </xf>
    <xf numFmtId="0" fontId="6" fillId="0" borderId="12" xfId="0" applyFont="1" applyBorder="1">
      <alignment vertical="center"/>
    </xf>
    <xf numFmtId="0" fontId="6" fillId="0" borderId="12" xfId="0" applyFont="1" applyBorder="1" applyAlignment="1">
      <alignment vertical="center" wrapText="1"/>
    </xf>
    <xf numFmtId="0" fontId="5" fillId="0" borderId="13" xfId="0" applyFont="1" applyBorder="1" applyAlignment="1">
      <alignment horizontal="left" vertical="center"/>
    </xf>
    <xf numFmtId="0" fontId="2" fillId="4" borderId="14" xfId="0" applyFont="1" applyFill="1" applyBorder="1" applyAlignment="1">
      <alignment horizontal="center" vertical="center"/>
    </xf>
    <xf numFmtId="0" fontId="2" fillId="4" borderId="14" xfId="0" applyFont="1" applyFill="1" applyBorder="1" applyAlignment="1">
      <alignment horizontal="center" vertical="center" wrapText="1"/>
    </xf>
    <xf numFmtId="0" fontId="7" fillId="0" borderId="14" xfId="0" applyFont="1" applyBorder="1">
      <alignment vertical="center"/>
    </xf>
    <xf numFmtId="0" fontId="6" fillId="0" borderId="14" xfId="0" applyFont="1" applyBorder="1">
      <alignment vertical="center"/>
    </xf>
    <xf numFmtId="0" fontId="6" fillId="0" borderId="15" xfId="0" applyFont="1" applyBorder="1">
      <alignment vertical="center"/>
    </xf>
    <xf numFmtId="0" fontId="1" fillId="0" borderId="0" xfId="0" applyFont="1" applyAlignment="1">
      <alignment horizontal="center" vertical="center" wrapText="1"/>
    </xf>
    <xf numFmtId="0" fontId="3" fillId="0" borderId="7" xfId="0" applyFont="1" applyBorder="1">
      <alignment vertical="center"/>
    </xf>
    <xf numFmtId="0" fontId="1" fillId="0" borderId="0" xfId="0" applyFont="1" applyAlignment="1">
      <alignment horizontal="center" vertical="center"/>
    </xf>
    <xf numFmtId="0" fontId="9" fillId="0" borderId="3" xfId="0" applyFont="1" applyBorder="1" applyAlignment="1">
      <alignment horizontal="center" vertical="center"/>
    </xf>
    <xf numFmtId="0" fontId="10" fillId="0" borderId="3" xfId="0" applyFont="1" applyBorder="1" applyAlignment="1">
      <alignment horizontal="center" vertical="center"/>
    </xf>
    <xf numFmtId="0" fontId="9" fillId="0" borderId="8" xfId="0" applyFont="1" applyBorder="1" applyAlignment="1">
      <alignment horizontal="center" vertical="center"/>
    </xf>
    <xf numFmtId="0" fontId="10" fillId="0" borderId="8" xfId="0" applyFont="1" applyBorder="1" applyAlignment="1">
      <alignment horizontal="center" vertical="center"/>
    </xf>
    <xf numFmtId="0" fontId="11" fillId="0" borderId="3" xfId="0" applyFont="1" applyBorder="1" applyAlignment="1">
      <alignment horizontal="center" vertical="center"/>
    </xf>
    <xf numFmtId="0" fontId="11" fillId="0" borderId="8" xfId="0" applyFont="1" applyBorder="1" applyAlignment="1">
      <alignment horizontal="center" vertical="center"/>
    </xf>
    <xf numFmtId="0" fontId="9" fillId="0" borderId="7" xfId="0" applyFont="1" applyBorder="1" applyAlignment="1">
      <alignment horizontal="center" vertical="center"/>
    </xf>
    <xf numFmtId="0" fontId="9" fillId="0" borderId="12" xfId="0" applyFont="1" applyBorder="1" applyAlignment="1">
      <alignment horizontal="center" vertical="center"/>
    </xf>
    <xf numFmtId="0" fontId="11" fillId="0" borderId="9" xfId="0" applyFont="1" applyBorder="1" applyAlignment="1">
      <alignment horizontal="center" vertical="center"/>
    </xf>
    <xf numFmtId="0" fontId="2" fillId="3" borderId="7" xfId="0" applyFont="1" applyFill="1" applyBorder="1" applyAlignment="1">
      <alignment horizontal="center" vertical="center"/>
    </xf>
    <xf numFmtId="0" fontId="12" fillId="5" borderId="3" xfId="0" applyFont="1" applyFill="1" applyBorder="1" applyAlignment="1">
      <alignment horizontal="center" vertical="center"/>
    </xf>
    <xf numFmtId="14" fontId="10" fillId="0" borderId="7" xfId="0" applyNumberFormat="1" applyFont="1" applyBorder="1" applyAlignment="1">
      <alignment horizontal="left" vertical="center"/>
    </xf>
    <xf numFmtId="0" fontId="10" fillId="0" borderId="7" xfId="0" applyFont="1" applyBorder="1" applyAlignment="1">
      <alignment vertical="center" wrapText="1"/>
    </xf>
    <xf numFmtId="0" fontId="12" fillId="5" borderId="8" xfId="0" applyFont="1" applyFill="1" applyBorder="1" applyAlignment="1">
      <alignment horizontal="center" vertical="center"/>
    </xf>
    <xf numFmtId="0" fontId="9" fillId="0" borderId="7" xfId="0" applyFont="1" applyBorder="1" applyAlignment="1">
      <alignment vertical="center" wrapText="1"/>
    </xf>
    <xf numFmtId="0" fontId="10" fillId="0" borderId="6" xfId="0" applyFont="1" applyBorder="1" applyAlignment="1">
      <alignment horizontal="center" vertical="center"/>
    </xf>
    <xf numFmtId="0" fontId="9" fillId="0" borderId="7" xfId="0" applyFont="1" applyBorder="1">
      <alignment vertical="center"/>
    </xf>
    <xf numFmtId="0" fontId="13" fillId="5" borderId="3" xfId="0" applyFont="1" applyFill="1" applyBorder="1" applyAlignment="1">
      <alignment horizontal="center" vertical="center"/>
    </xf>
    <xf numFmtId="0" fontId="13" fillId="5" borderId="8" xfId="0" applyFont="1" applyFill="1" applyBorder="1" applyAlignment="1">
      <alignment horizontal="center" vertical="center"/>
    </xf>
    <xf numFmtId="0" fontId="13" fillId="5" borderId="7" xfId="0" applyFont="1" applyFill="1" applyBorder="1" applyAlignment="1">
      <alignment horizontal="center" vertical="center"/>
    </xf>
    <xf numFmtId="0" fontId="13" fillId="5" borderId="9" xfId="0" applyFont="1" applyFill="1" applyBorder="1" applyAlignment="1">
      <alignment horizontal="center" vertical="center"/>
    </xf>
    <xf numFmtId="0" fontId="13" fillId="5" borderId="12" xfId="0" applyFont="1" applyFill="1" applyBorder="1" applyAlignment="1">
      <alignment horizontal="center" vertical="center"/>
    </xf>
    <xf numFmtId="0" fontId="9" fillId="0" borderId="12" xfId="0" applyFont="1" applyBorder="1">
      <alignment vertical="center"/>
    </xf>
    <xf numFmtId="0" fontId="9" fillId="0" borderId="12" xfId="0" applyFont="1" applyBorder="1" applyAlignment="1">
      <alignment vertical="center" wrapText="1"/>
    </xf>
    <xf numFmtId="0" fontId="10" fillId="0" borderId="7" xfId="0" applyFont="1" applyBorder="1">
      <alignment vertical="center"/>
    </xf>
    <xf numFmtId="0" fontId="10" fillId="0" borderId="14" xfId="0" applyFont="1" applyBorder="1">
      <alignment vertical="center"/>
    </xf>
    <xf numFmtId="0" fontId="9" fillId="0" borderId="14" xfId="0" applyFont="1" applyBorder="1">
      <alignment vertical="center"/>
    </xf>
    <xf numFmtId="0" fontId="9" fillId="0" borderId="15" xfId="0" applyFont="1" applyBorder="1">
      <alignment vertical="center"/>
    </xf>
    <xf numFmtId="0" fontId="1" fillId="0" borderId="0" xfId="0" applyFont="1" applyAlignment="1">
      <alignment vertical="center" wrapText="1"/>
    </xf>
    <xf numFmtId="0" fontId="3" fillId="0" borderId="0" xfId="0" applyFont="1" applyAlignment="1">
      <alignment horizontal="center" vertical="center"/>
    </xf>
    <xf numFmtId="0" fontId="14" fillId="0" borderId="0" xfId="0" applyFont="1" applyBorder="1" applyAlignment="1">
      <alignment horizontal="center" vertical="center"/>
    </xf>
    <xf numFmtId="0" fontId="15" fillId="0" borderId="16" xfId="0" applyFont="1" applyFill="1" applyBorder="1" applyAlignment="1">
      <alignment horizontal="center" vertical="center" wrapText="1"/>
    </xf>
    <xf numFmtId="0" fontId="15" fillId="0" borderId="17" xfId="0" applyFont="1" applyFill="1" applyBorder="1" applyAlignment="1">
      <alignment horizontal="center" vertical="center" wrapText="1"/>
    </xf>
    <xf numFmtId="0" fontId="7" fillId="0" borderId="7" xfId="0" applyFont="1" applyBorder="1" applyAlignment="1">
      <alignment horizontal="justify" vertical="center" wrapText="1"/>
    </xf>
    <xf numFmtId="0" fontId="7" fillId="0" borderId="14" xfId="0" applyFont="1" applyBorder="1" applyAlignment="1">
      <alignment vertical="center" wrapText="1"/>
    </xf>
    <xf numFmtId="0" fontId="16" fillId="0" borderId="7" xfId="0" applyFont="1" applyBorder="1" applyAlignment="1">
      <alignment vertical="center" wrapText="1"/>
    </xf>
    <xf numFmtId="0" fontId="7" fillId="0" borderId="3" xfId="0" applyFont="1" applyBorder="1" applyAlignment="1">
      <alignment horizontal="justify" vertical="center" wrapText="1"/>
    </xf>
    <xf numFmtId="0" fontId="7" fillId="0" borderId="3" xfId="0" applyFont="1" applyBorder="1" applyAlignment="1">
      <alignment vertical="center" wrapText="1"/>
    </xf>
    <xf numFmtId="0" fontId="7" fillId="0" borderId="12" xfId="0" applyFont="1" applyFill="1" applyBorder="1" applyAlignment="1">
      <alignment horizontal="justify" vertical="center" wrapText="1"/>
    </xf>
    <xf numFmtId="0" fontId="7" fillId="0" borderId="12" xfId="0" applyFont="1" applyBorder="1" applyAlignment="1">
      <alignment vertical="center" wrapText="1"/>
    </xf>
    <xf numFmtId="0" fontId="7" fillId="0" borderId="12" xfId="0" applyFont="1" applyBorder="1">
      <alignment vertical="center"/>
    </xf>
    <xf numFmtId="0" fontId="7" fillId="0" borderId="15" xfId="0" applyFont="1" applyBorder="1" applyAlignment="1">
      <alignment vertical="center" wrapText="1"/>
    </xf>
    <xf numFmtId="0" fontId="17" fillId="0" borderId="0" xfId="0" applyFont="1" applyBorder="1" applyAlignment="1">
      <alignment horizontal="left" vertical="center" wrapText="1"/>
    </xf>
    <xf numFmtId="0" fontId="18" fillId="6" borderId="18" xfId="0" applyFont="1" applyFill="1" applyBorder="1" applyAlignment="1">
      <alignment horizontal="center" vertical="center" wrapText="1"/>
    </xf>
    <xf numFmtId="0" fontId="19" fillId="6" borderId="19" xfId="0" applyFont="1" applyFill="1" applyBorder="1" applyAlignment="1">
      <alignment horizontal="center" vertical="center" wrapText="1"/>
    </xf>
    <xf numFmtId="0" fontId="19" fillId="6" borderId="20" xfId="0" applyFont="1" applyFill="1" applyBorder="1" applyAlignment="1">
      <alignment horizontal="center" vertical="center" wrapText="1"/>
    </xf>
    <xf numFmtId="0" fontId="18" fillId="6" borderId="21" xfId="0" applyFont="1" applyFill="1" applyBorder="1" applyAlignment="1">
      <alignment horizontal="center" vertical="center" wrapText="1"/>
    </xf>
    <xf numFmtId="0" fontId="19" fillId="6" borderId="6" xfId="0" applyFont="1" applyFill="1" applyBorder="1" applyAlignment="1">
      <alignment horizontal="center" vertical="center" wrapText="1"/>
    </xf>
    <xf numFmtId="0" fontId="19" fillId="6" borderId="22" xfId="0" applyFont="1" applyFill="1" applyBorder="1" applyAlignment="1">
      <alignment horizontal="center" vertical="center" wrapText="1"/>
    </xf>
    <xf numFmtId="0" fontId="20" fillId="0" borderId="23" xfId="0" applyFont="1" applyBorder="1" applyAlignment="1">
      <alignment horizontal="center" vertical="center" wrapText="1"/>
    </xf>
    <xf numFmtId="0" fontId="20" fillId="0" borderId="7" xfId="0" applyFont="1" applyBorder="1" applyAlignment="1">
      <alignment horizontal="center" vertical="center" wrapText="1"/>
    </xf>
    <xf numFmtId="0" fontId="21" fillId="0" borderId="7" xfId="0" applyFont="1" applyBorder="1" applyAlignment="1">
      <alignment horizontal="left" vertical="center" wrapText="1"/>
    </xf>
    <xf numFmtId="0" fontId="21" fillId="0" borderId="14" xfId="0" applyFont="1" applyBorder="1" applyAlignment="1">
      <alignment horizontal="left" vertical="center" wrapText="1"/>
    </xf>
    <xf numFmtId="0" fontId="20" fillId="0" borderId="24" xfId="0" applyFont="1" applyBorder="1" applyAlignment="1">
      <alignment horizontal="center" vertical="center" wrapText="1"/>
    </xf>
    <xf numFmtId="0" fontId="20" fillId="0" borderId="12" xfId="0" applyFont="1" applyBorder="1" applyAlignment="1">
      <alignment horizontal="center" vertical="center" wrapText="1"/>
    </xf>
    <xf numFmtId="0" fontId="21" fillId="0" borderId="12" xfId="0" applyFont="1" applyBorder="1" applyAlignment="1">
      <alignment horizontal="left" vertical="center" wrapText="1"/>
    </xf>
    <xf numFmtId="0" fontId="21" fillId="0" borderId="15" xfId="0" applyFont="1" applyBorder="1" applyAlignment="1">
      <alignment horizontal="left" vertical="center" wrapText="1"/>
    </xf>
    <xf numFmtId="0" fontId="20" fillId="0" borderId="0" xfId="0" applyFont="1" applyBorder="1" applyAlignment="1">
      <alignment horizontal="center" vertical="center" wrapText="1"/>
    </xf>
    <xf numFmtId="0" fontId="21" fillId="0" borderId="0" xfId="0" applyFont="1" applyBorder="1" applyAlignment="1">
      <alignment horizontal="left" vertical="center" wrapText="1"/>
    </xf>
    <xf numFmtId="0" fontId="22" fillId="5" borderId="25" xfId="0" applyFont="1" applyFill="1" applyBorder="1" applyAlignment="1">
      <alignment horizontal="left" vertical="center" wrapText="1"/>
    </xf>
    <xf numFmtId="0" fontId="21" fillId="0" borderId="26" xfId="0" applyFont="1" applyBorder="1" applyAlignment="1">
      <alignment horizontal="left" vertical="center" wrapText="1"/>
    </xf>
    <xf numFmtId="0" fontId="21" fillId="0" borderId="1" xfId="0" applyFont="1" applyBorder="1" applyAlignment="1">
      <alignment horizontal="left" vertical="center" wrapText="1"/>
    </xf>
    <xf numFmtId="0" fontId="21" fillId="0" borderId="13" xfId="0" applyFont="1" applyBorder="1" applyAlignment="1">
      <alignment horizontal="left" vertical="center" wrapText="1"/>
    </xf>
    <xf numFmtId="0" fontId="22" fillId="5" borderId="23" xfId="0" applyFont="1" applyFill="1" applyBorder="1" applyAlignment="1">
      <alignment horizontal="left" vertical="center" wrapText="1"/>
    </xf>
    <xf numFmtId="0" fontId="23" fillId="0" borderId="7" xfId="0" applyFont="1" applyBorder="1" applyAlignment="1">
      <alignment horizontal="left" vertical="center" wrapText="1"/>
    </xf>
    <xf numFmtId="0" fontId="23" fillId="0" borderId="14" xfId="0" applyFont="1" applyBorder="1" applyAlignment="1">
      <alignment horizontal="left" vertical="center" wrapText="1"/>
    </xf>
    <xf numFmtId="0" fontId="21" fillId="0" borderId="7" xfId="0" applyFont="1" applyBorder="1" applyAlignment="1">
      <alignment horizontal="left" vertical="center"/>
    </xf>
    <xf numFmtId="0" fontId="21" fillId="0" borderId="14" xfId="0" applyFont="1" applyBorder="1" applyAlignment="1">
      <alignment horizontal="left" vertical="center"/>
    </xf>
    <xf numFmtId="0" fontId="22" fillId="5" borderId="24" xfId="0" applyFont="1" applyFill="1" applyBorder="1" applyAlignment="1">
      <alignment horizontal="left" vertical="center" wrapText="1"/>
    </xf>
    <xf numFmtId="0" fontId="21" fillId="0" borderId="12" xfId="0" applyFont="1" applyBorder="1" applyAlignment="1">
      <alignment horizontal="left" vertical="center"/>
    </xf>
    <xf numFmtId="0" fontId="21" fillId="0" borderId="15" xfId="0" applyFont="1" applyBorder="1" applyAlignment="1">
      <alignment horizontal="left" vertical="center"/>
    </xf>
    <xf numFmtId="0" fontId="21" fillId="0" borderId="0" xfId="0" applyFont="1" applyAlignment="1">
      <alignment horizontal="justify" vertical="center"/>
    </xf>
    <xf numFmtId="0" fontId="18" fillId="7" borderId="25" xfId="0" applyFont="1" applyFill="1" applyBorder="1" applyAlignment="1">
      <alignment horizontal="center" vertical="center" wrapText="1"/>
    </xf>
    <xf numFmtId="0" fontId="19" fillId="7" borderId="16" xfId="0" applyFont="1" applyFill="1" applyBorder="1" applyAlignment="1">
      <alignment horizontal="center" vertical="center" wrapText="1"/>
    </xf>
    <xf numFmtId="0" fontId="19" fillId="7" borderId="17" xfId="0" applyFont="1" applyFill="1" applyBorder="1" applyAlignment="1">
      <alignment horizontal="center" vertical="center" wrapText="1"/>
    </xf>
    <xf numFmtId="0" fontId="21" fillId="0" borderId="7" xfId="0" applyFont="1" applyBorder="1" applyAlignment="1">
      <alignment horizontal="center" vertical="center" wrapText="1"/>
    </xf>
    <xf numFmtId="0" fontId="21" fillId="0" borderId="14" xfId="0" applyFont="1" applyBorder="1" applyAlignment="1">
      <alignment horizontal="center" vertical="center" wrapText="1"/>
    </xf>
    <xf numFmtId="0" fontId="21" fillId="0" borderId="12" xfId="0" applyFont="1" applyBorder="1" applyAlignment="1">
      <alignment horizontal="center" vertical="center" wrapText="1"/>
    </xf>
    <xf numFmtId="0" fontId="21" fillId="0" borderId="15" xfId="0" applyFont="1" applyBorder="1" applyAlignment="1">
      <alignment horizontal="center" vertical="center" wrapText="1"/>
    </xf>
    <xf numFmtId="0" fontId="1" fillId="0" borderId="0" xfId="0" applyFont="1" applyAlignment="1">
      <alignment horizontal="left" vertical="center" wrapText="1"/>
    </xf>
    <xf numFmtId="0" fontId="1" fillId="0" borderId="10" xfId="0" applyFont="1" applyBorder="1" applyAlignment="1">
      <alignment horizontal="center" vertical="center" wrapText="1"/>
    </xf>
    <xf numFmtId="0" fontId="1" fillId="0" borderId="27" xfId="0" applyFont="1" applyBorder="1" applyAlignment="1">
      <alignment horizontal="center" vertical="center" wrapText="1"/>
    </xf>
    <xf numFmtId="0" fontId="1" fillId="0" borderId="28" xfId="0" applyFont="1" applyBorder="1" applyAlignment="1">
      <alignment horizontal="center" vertical="center" wrapText="1"/>
    </xf>
    <xf numFmtId="0" fontId="1" fillId="0" borderId="29" xfId="0" applyFont="1" applyBorder="1" applyAlignment="1">
      <alignment horizontal="center" vertical="center" wrapText="1"/>
    </xf>
    <xf numFmtId="0" fontId="1" fillId="0" borderId="0" xfId="0" applyFont="1" applyBorder="1" applyAlignment="1">
      <alignment horizontal="center" vertical="center" wrapText="1"/>
    </xf>
    <xf numFmtId="0" fontId="1" fillId="0" borderId="30"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31" xfId="0" applyFont="1" applyBorder="1" applyAlignment="1">
      <alignment horizontal="center" vertical="center" wrapText="1"/>
    </xf>
    <xf numFmtId="0" fontId="18" fillId="6" borderId="25" xfId="0" applyFont="1" applyFill="1" applyBorder="1" applyAlignment="1">
      <alignment horizontal="center" vertical="center" wrapText="1"/>
    </xf>
    <xf numFmtId="0" fontId="19" fillId="6" borderId="17" xfId="0" applyFont="1" applyFill="1" applyBorder="1" applyAlignment="1">
      <alignment horizontal="center" vertical="center" wrapText="1"/>
    </xf>
    <xf numFmtId="0" fontId="20" fillId="0" borderId="14" xfId="0" applyFont="1" applyBorder="1" applyAlignment="1">
      <alignment horizontal="center" vertical="center" wrapText="1"/>
    </xf>
    <xf numFmtId="0" fontId="20" fillId="0" borderId="15" xfId="0" applyFont="1" applyBorder="1" applyAlignment="1">
      <alignment horizontal="center" vertical="center" wrapText="1"/>
    </xf>
    <xf numFmtId="0" fontId="18" fillId="0" borderId="32" xfId="0" applyFont="1" applyBorder="1" applyAlignment="1">
      <alignment horizontal="left" vertical="center" wrapText="1"/>
    </xf>
    <xf numFmtId="0" fontId="18" fillId="0" borderId="1" xfId="0" applyFont="1" applyBorder="1" applyAlignment="1">
      <alignment horizontal="left" vertical="center" wrapText="1"/>
    </xf>
    <xf numFmtId="0" fontId="18" fillId="0" borderId="13" xfId="0" applyFont="1" applyBorder="1" applyAlignment="1">
      <alignment horizontal="left" vertical="center" wrapText="1"/>
    </xf>
    <xf numFmtId="0" fontId="18" fillId="7" borderId="23" xfId="0" applyFont="1" applyFill="1" applyBorder="1" applyAlignment="1">
      <alignment horizontal="center" vertical="center" wrapText="1"/>
    </xf>
    <xf numFmtId="0" fontId="18" fillId="7" borderId="7" xfId="0" applyFont="1" applyFill="1" applyBorder="1" applyAlignment="1">
      <alignment horizontal="center" vertical="center" wrapText="1"/>
    </xf>
    <xf numFmtId="0" fontId="18" fillId="7" borderId="14" xfId="0" applyFont="1" applyFill="1" applyBorder="1" applyAlignment="1">
      <alignment horizontal="center" vertical="center" wrapText="1"/>
    </xf>
    <xf numFmtId="0" fontId="21" fillId="0" borderId="23" xfId="0" applyFont="1" applyBorder="1" applyAlignment="1">
      <alignment horizontal="center" vertical="center" wrapText="1"/>
    </xf>
    <xf numFmtId="0" fontId="21" fillId="0" borderId="7" xfId="0" applyFont="1" applyBorder="1" applyAlignment="1">
      <alignment horizontal="justify" vertical="center" wrapText="1"/>
    </xf>
    <xf numFmtId="0" fontId="21" fillId="0" borderId="14" xfId="0" applyFont="1" applyBorder="1" applyAlignment="1">
      <alignment horizontal="justify" vertical="center" wrapText="1"/>
    </xf>
    <xf numFmtId="0" fontId="21" fillId="0" borderId="3" xfId="0" applyFont="1" applyBorder="1" applyAlignment="1">
      <alignment horizontal="left" vertical="center" wrapText="1"/>
    </xf>
    <xf numFmtId="0" fontId="21" fillId="0" borderId="6" xfId="0" applyFont="1" applyBorder="1" applyAlignment="1">
      <alignment horizontal="left" vertical="center" wrapText="1"/>
    </xf>
    <xf numFmtId="0" fontId="23" fillId="0" borderId="14" xfId="0" applyFont="1" applyBorder="1" applyAlignment="1">
      <alignment horizontal="justify" vertical="center" wrapText="1"/>
    </xf>
    <xf numFmtId="0" fontId="23" fillId="0" borderId="33" xfId="0" applyFont="1" applyBorder="1" applyAlignment="1">
      <alignment horizontal="left" vertical="center" wrapText="1"/>
    </xf>
    <xf numFmtId="0" fontId="23" fillId="0" borderId="34" xfId="0" applyFont="1" applyBorder="1" applyAlignment="1">
      <alignment horizontal="left" vertical="center" wrapText="1"/>
    </xf>
    <xf numFmtId="0" fontId="23" fillId="0" borderId="35" xfId="0" applyFont="1" applyBorder="1" applyAlignment="1">
      <alignment horizontal="left" vertical="center" wrapText="1"/>
    </xf>
    <xf numFmtId="0" fontId="18" fillId="0" borderId="32" xfId="0" applyFont="1" applyBorder="1" applyAlignment="1">
      <alignment horizontal="center" vertical="center" wrapText="1"/>
    </xf>
    <xf numFmtId="0" fontId="18" fillId="0" borderId="1" xfId="0" applyFont="1" applyBorder="1" applyAlignment="1">
      <alignment horizontal="center" vertical="center" wrapText="1"/>
    </xf>
    <xf numFmtId="0" fontId="18" fillId="0" borderId="13" xfId="0" applyFont="1" applyBorder="1" applyAlignment="1">
      <alignment horizontal="center" vertical="center" wrapText="1"/>
    </xf>
    <xf numFmtId="0" fontId="18" fillId="0" borderId="25" xfId="0" applyFont="1" applyBorder="1" applyAlignment="1">
      <alignment horizontal="left" vertical="center" wrapText="1"/>
    </xf>
    <xf numFmtId="0" fontId="18" fillId="0" borderId="16" xfId="0" applyFont="1" applyBorder="1" applyAlignment="1">
      <alignment horizontal="left" vertical="center" wrapText="1"/>
    </xf>
    <xf numFmtId="0" fontId="18" fillId="0" borderId="17" xfId="0" applyFont="1" applyBorder="1" applyAlignment="1">
      <alignment horizontal="left" vertical="center" wrapText="1"/>
    </xf>
    <xf numFmtId="0" fontId="18" fillId="6" borderId="23" xfId="0" applyFont="1" applyFill="1" applyBorder="1" applyAlignment="1">
      <alignment horizontal="center" vertical="center" wrapText="1"/>
    </xf>
    <xf numFmtId="0" fontId="18" fillId="6" borderId="7" xfId="0" applyFont="1" applyFill="1" applyBorder="1" applyAlignment="1">
      <alignment horizontal="center" vertical="center" wrapText="1"/>
    </xf>
    <xf numFmtId="0" fontId="18" fillId="6" borderId="14" xfId="0" applyFont="1" applyFill="1" applyBorder="1" applyAlignment="1">
      <alignment horizontal="center" vertical="center" wrapText="1"/>
    </xf>
    <xf numFmtId="0" fontId="19" fillId="6" borderId="7" xfId="0" applyFont="1" applyFill="1" applyBorder="1" applyAlignment="1">
      <alignment horizontal="center" vertical="center" wrapText="1"/>
    </xf>
    <xf numFmtId="0" fontId="19" fillId="6" borderId="14" xfId="0" applyFont="1" applyFill="1" applyBorder="1" applyAlignment="1">
      <alignment horizontal="center" vertical="center" wrapText="1"/>
    </xf>
    <xf numFmtId="0" fontId="21" fillId="0" borderId="24" xfId="0" applyFont="1" applyBorder="1" applyAlignment="1">
      <alignment horizontal="center" vertical="center" wrapText="1"/>
    </xf>
    <xf numFmtId="0" fontId="19" fillId="6" borderId="36" xfId="0" applyFont="1" applyFill="1" applyBorder="1" applyAlignment="1">
      <alignment horizontal="center" vertical="center" wrapText="1"/>
    </xf>
    <xf numFmtId="0" fontId="19" fillId="6" borderId="37" xfId="0" applyFont="1" applyFill="1" applyBorder="1" applyAlignment="1">
      <alignment horizontal="center" vertical="center" wrapText="1"/>
    </xf>
    <xf numFmtId="0" fontId="19" fillId="6" borderId="16" xfId="0" applyFont="1" applyFill="1" applyBorder="1" applyAlignment="1">
      <alignment horizontal="center" vertical="center" wrapText="1"/>
    </xf>
    <xf numFmtId="0" fontId="19" fillId="6" borderId="11" xfId="0" applyFont="1" applyFill="1" applyBorder="1" applyAlignment="1">
      <alignment horizontal="center" vertical="center" wrapText="1"/>
    </xf>
    <xf numFmtId="0" fontId="19" fillId="6" borderId="31" xfId="0" applyFont="1" applyFill="1" applyBorder="1" applyAlignment="1">
      <alignment horizontal="center" vertical="center" wrapText="1"/>
    </xf>
    <xf numFmtId="0" fontId="21" fillId="0" borderId="4" xfId="0" applyFont="1" applyBorder="1" applyAlignment="1">
      <alignment horizontal="left" vertical="center" wrapText="1"/>
    </xf>
    <xf numFmtId="0" fontId="21" fillId="0" borderId="5" xfId="0" applyFont="1" applyBorder="1" applyAlignment="1">
      <alignment horizontal="left" vertical="center" wrapText="1"/>
    </xf>
    <xf numFmtId="0" fontId="20" fillId="0" borderId="7" xfId="0" applyFont="1" applyBorder="1" applyAlignment="1">
      <alignment horizontal="left" vertical="center" wrapText="1"/>
    </xf>
    <xf numFmtId="0" fontId="20" fillId="0" borderId="14" xfId="0" applyFont="1" applyBorder="1" applyAlignment="1">
      <alignment horizontal="left" vertical="center" wrapText="1"/>
    </xf>
    <xf numFmtId="0" fontId="21" fillId="0" borderId="38" xfId="0" applyFont="1" applyBorder="1" applyAlignment="1">
      <alignment horizontal="left" vertical="center" wrapText="1"/>
    </xf>
    <xf numFmtId="0" fontId="21" fillId="0" borderId="39" xfId="0" applyFont="1" applyBorder="1" applyAlignment="1">
      <alignment horizontal="left" vertical="center" wrapText="1"/>
    </xf>
    <xf numFmtId="0" fontId="21" fillId="0" borderId="12" xfId="0" applyFont="1" applyBorder="1" applyAlignment="1">
      <alignment horizontal="justify" vertical="center" wrapText="1"/>
    </xf>
    <xf numFmtId="0" fontId="24" fillId="5" borderId="25" xfId="0" applyFont="1" applyFill="1" applyBorder="1" applyAlignment="1">
      <alignment vertical="center" wrapText="1"/>
    </xf>
    <xf numFmtId="0" fontId="21" fillId="0" borderId="16" xfId="0" applyFont="1" applyBorder="1" applyAlignment="1">
      <alignment vertical="center" wrapText="1"/>
    </xf>
    <xf numFmtId="0" fontId="21" fillId="0" borderId="17" xfId="0" applyFont="1" applyBorder="1" applyAlignment="1">
      <alignment vertical="center" wrapText="1"/>
    </xf>
    <xf numFmtId="0" fontId="24" fillId="5" borderId="23" xfId="0" applyFont="1" applyFill="1" applyBorder="1" applyAlignment="1">
      <alignment vertical="center" wrapText="1"/>
    </xf>
    <xf numFmtId="0" fontId="21" fillId="0" borderId="7" xfId="0" applyFont="1" applyBorder="1" applyAlignment="1">
      <alignment vertical="center" wrapText="1"/>
    </xf>
    <xf numFmtId="0" fontId="21" fillId="0" borderId="14" xfId="0" applyFont="1" applyBorder="1" applyAlignment="1">
      <alignment vertical="center" wrapText="1"/>
    </xf>
    <xf numFmtId="0" fontId="24" fillId="5" borderId="24" xfId="0" applyFont="1" applyFill="1" applyBorder="1" applyAlignment="1">
      <alignment vertical="center" wrapText="1"/>
    </xf>
    <xf numFmtId="0" fontId="21" fillId="0" borderId="12" xfId="0" applyFont="1" applyBorder="1" applyAlignment="1">
      <alignment vertical="center" wrapText="1"/>
    </xf>
    <xf numFmtId="0" fontId="21" fillId="0" borderId="15" xfId="0" applyFont="1" applyBorder="1" applyAlignment="1">
      <alignment vertical="center" wrapText="1"/>
    </xf>
    <xf numFmtId="0" fontId="21" fillId="0" borderId="0" xfId="0" applyFont="1" applyAlignment="1">
      <alignment horizontal="justify" vertical="center" wrapText="1"/>
    </xf>
    <xf numFmtId="0" fontId="25" fillId="0" borderId="0" xfId="0" applyFont="1" applyAlignment="1">
      <alignment horizontal="center" vertical="center"/>
    </xf>
    <xf numFmtId="0" fontId="9" fillId="8" borderId="25" xfId="15" applyFont="1" applyFill="1" applyBorder="1" applyAlignment="1">
      <alignment horizontal="center" vertical="center"/>
    </xf>
    <xf numFmtId="0" fontId="9" fillId="8" borderId="26" xfId="15" applyFont="1" applyFill="1" applyBorder="1" applyAlignment="1">
      <alignment horizontal="center" vertical="center"/>
    </xf>
    <xf numFmtId="0" fontId="9" fillId="0" borderId="26" xfId="15" applyFont="1" applyBorder="1" applyAlignment="1">
      <alignment horizontal="left" vertical="center" wrapText="1"/>
    </xf>
    <xf numFmtId="0" fontId="9" fillId="0" borderId="1" xfId="15" applyFont="1" applyBorder="1" applyAlignment="1">
      <alignment horizontal="left" vertical="center" wrapText="1"/>
    </xf>
    <xf numFmtId="0" fontId="9" fillId="0" borderId="13" xfId="15" applyFont="1" applyBorder="1" applyAlignment="1">
      <alignment horizontal="left" vertical="center" wrapText="1"/>
    </xf>
    <xf numFmtId="0" fontId="9" fillId="8" borderId="23" xfId="15" applyFont="1" applyFill="1" applyBorder="1" applyAlignment="1">
      <alignment horizontal="center" vertical="center"/>
    </xf>
    <xf numFmtId="0" fontId="9" fillId="8" borderId="4" xfId="15" applyFont="1" applyFill="1" applyBorder="1" applyAlignment="1">
      <alignment horizontal="center" vertical="center"/>
    </xf>
    <xf numFmtId="0" fontId="9" fillId="0" borderId="4" xfId="15" applyFont="1" applyBorder="1" applyAlignment="1">
      <alignment horizontal="left" vertical="center" wrapText="1"/>
    </xf>
    <xf numFmtId="0" fontId="9" fillId="0" borderId="2" xfId="15" applyFont="1" applyBorder="1" applyAlignment="1">
      <alignment horizontal="left" vertical="center" wrapText="1"/>
    </xf>
    <xf numFmtId="0" fontId="9" fillId="0" borderId="40" xfId="15" applyFont="1" applyBorder="1" applyAlignment="1">
      <alignment horizontal="left" vertical="center" wrapText="1"/>
    </xf>
    <xf numFmtId="0" fontId="9" fillId="8" borderId="33" xfId="15" applyFont="1" applyFill="1" applyBorder="1" applyAlignment="1">
      <alignment horizontal="center" vertical="center"/>
    </xf>
    <xf numFmtId="0" fontId="9" fillId="8" borderId="39" xfId="15" applyFont="1" applyFill="1" applyBorder="1" applyAlignment="1">
      <alignment horizontal="center" vertical="center"/>
    </xf>
    <xf numFmtId="0" fontId="9" fillId="0" borderId="12" xfId="15" applyFont="1" applyBorder="1" applyAlignment="1">
      <alignment horizontal="left" vertical="center" wrapText="1"/>
    </xf>
    <xf numFmtId="0" fontId="9" fillId="0" borderId="15" xfId="15" applyFont="1" applyBorder="1" applyAlignment="1">
      <alignment horizontal="left" vertical="center" wrapText="1"/>
    </xf>
    <xf numFmtId="0" fontId="9" fillId="0" borderId="0" xfId="15" applyFont="1"/>
    <xf numFmtId="0" fontId="9" fillId="0" borderId="0" xfId="15" applyFont="1" applyAlignment="1">
      <alignment vertical="top" wrapText="1"/>
    </xf>
    <xf numFmtId="0" fontId="13" fillId="8" borderId="25" xfId="15" applyFont="1" applyFill="1" applyBorder="1" applyAlignment="1">
      <alignment horizontal="left" vertical="center"/>
    </xf>
    <xf numFmtId="0" fontId="13" fillId="8" borderId="16" xfId="15" applyFont="1" applyFill="1" applyBorder="1" applyAlignment="1">
      <alignment horizontal="left" vertical="center"/>
    </xf>
    <xf numFmtId="0" fontId="13" fillId="8" borderId="17" xfId="15" applyFont="1" applyFill="1" applyBorder="1" applyAlignment="1">
      <alignment horizontal="left" vertical="center"/>
    </xf>
    <xf numFmtId="0" fontId="9" fillId="8" borderId="21" xfId="15" applyFont="1" applyFill="1" applyBorder="1" applyAlignment="1">
      <alignment horizontal="center"/>
    </xf>
    <xf numFmtId="0" fontId="9" fillId="8" borderId="6" xfId="15" applyFont="1" applyFill="1" applyBorder="1" applyAlignment="1">
      <alignment horizontal="center"/>
    </xf>
    <xf numFmtId="0" fontId="9" fillId="8" borderId="4" xfId="15" applyFont="1" applyFill="1" applyBorder="1" applyAlignment="1">
      <alignment horizontal="center"/>
    </xf>
    <xf numFmtId="0" fontId="9" fillId="8" borderId="2" xfId="15" applyFont="1" applyFill="1" applyBorder="1" applyAlignment="1">
      <alignment horizontal="center"/>
    </xf>
    <xf numFmtId="0" fontId="9" fillId="8" borderId="5" xfId="15" applyFont="1" applyFill="1" applyBorder="1" applyAlignment="1">
      <alignment horizontal="center"/>
    </xf>
    <xf numFmtId="0" fontId="9" fillId="8" borderId="22" xfId="15" applyFont="1" applyFill="1" applyBorder="1" applyAlignment="1">
      <alignment horizontal="center"/>
    </xf>
    <xf numFmtId="49" fontId="9" fillId="0" borderId="23" xfId="15" applyNumberFormat="1" applyFont="1" applyBorder="1" applyAlignment="1">
      <alignment horizontal="center"/>
    </xf>
    <xf numFmtId="49" fontId="9" fillId="0" borderId="7" xfId="15" applyNumberFormat="1" applyFont="1" applyBorder="1" applyAlignment="1">
      <alignment horizontal="center"/>
    </xf>
    <xf numFmtId="0" fontId="9" fillId="0" borderId="7" xfId="15" applyFont="1" applyBorder="1" applyAlignment="1">
      <alignment horizontal="left"/>
    </xf>
    <xf numFmtId="0" fontId="9" fillId="0" borderId="7" xfId="15" applyFont="1" applyBorder="1" applyAlignment="1">
      <alignment horizontal="center"/>
    </xf>
    <xf numFmtId="0" fontId="9" fillId="0" borderId="14" xfId="15" applyFont="1" applyBorder="1" applyAlignment="1">
      <alignment horizontal="center"/>
    </xf>
    <xf numFmtId="49" fontId="9" fillId="0" borderId="23" xfId="15" applyNumberFormat="1" applyFont="1" applyBorder="1" applyAlignment="1">
      <alignment horizontal="center" vertical="center"/>
    </xf>
    <xf numFmtId="49" fontId="9" fillId="0" borderId="7" xfId="15" applyNumberFormat="1" applyFont="1" applyBorder="1" applyAlignment="1">
      <alignment horizontal="center" vertical="center"/>
    </xf>
    <xf numFmtId="0" fontId="9" fillId="0" borderId="7" xfId="15" applyFont="1" applyBorder="1" applyAlignment="1">
      <alignment horizontal="left" vertical="center" wrapText="1"/>
    </xf>
    <xf numFmtId="0" fontId="9" fillId="0" borderId="7" xfId="15" applyFont="1" applyBorder="1" applyAlignment="1">
      <alignment horizontal="center" vertical="center"/>
    </xf>
    <xf numFmtId="49" fontId="9" fillId="0" borderId="24" xfId="15" applyNumberFormat="1" applyFont="1" applyBorder="1" applyAlignment="1">
      <alignment horizontal="center"/>
    </xf>
    <xf numFmtId="49" fontId="9" fillId="0" borderId="12" xfId="15" applyNumberFormat="1" applyFont="1" applyBorder="1" applyAlignment="1">
      <alignment horizontal="center"/>
    </xf>
    <xf numFmtId="0" fontId="9" fillId="0" borderId="12" xfId="15" applyFont="1" applyBorder="1" applyAlignment="1">
      <alignment horizontal="left"/>
    </xf>
    <xf numFmtId="0" fontId="9" fillId="0" borderId="12" xfId="15" applyFont="1" applyBorder="1" applyAlignment="1">
      <alignment horizontal="center"/>
    </xf>
    <xf numFmtId="0" fontId="9" fillId="0" borderId="15" xfId="15" applyFont="1" applyBorder="1" applyAlignment="1">
      <alignment horizontal="center"/>
    </xf>
  </cellXfs>
  <cellStyles count="52">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常规 6" xfId="13"/>
    <cellStyle name="注释" xfId="14" builtinId="10"/>
    <cellStyle name="Normal_CNT-MGT-TEMP-EXCL1" xfId="15"/>
    <cellStyle name="60% - 强调文字颜色 2" xfId="16" builtinId="36"/>
    <cellStyle name="标题 4" xfId="17" builtinId="19"/>
    <cellStyle name="警告文本" xfId="18" builtinId="11"/>
    <cellStyle name="标题" xfId="19" builtinId="15"/>
    <cellStyle name="解释性文本" xfId="20" builtinId="53"/>
    <cellStyle name="标题 1" xfId="21" builtinId="16"/>
    <cellStyle name="标题 2" xfId="22" builtinId="17"/>
    <cellStyle name="60% - 强调文字颜色 1" xfId="23" builtinId="32"/>
    <cellStyle name="标题 3" xfId="24" builtinId="18"/>
    <cellStyle name="60% - 强调文字颜色 4" xfId="25" builtinId="44"/>
    <cellStyle name="输出" xfId="26" builtinId="21"/>
    <cellStyle name="计算" xfId="27" builtinId="22"/>
    <cellStyle name="检查单元格" xfId="28" builtinId="23"/>
    <cellStyle name="20% - 强调文字颜色 6" xfId="29" builtinId="50"/>
    <cellStyle name="强调文字颜色 2" xfId="30" builtinId="33"/>
    <cellStyle name="链接单元格" xfId="31" builtinId="24"/>
    <cellStyle name="汇总" xfId="32" builtinId="25"/>
    <cellStyle name="好" xfId="33" builtinId="26"/>
    <cellStyle name="适中" xfId="34" builtinId="28"/>
    <cellStyle name="20% - 强调文字颜色 5" xfId="35" builtinId="46"/>
    <cellStyle name="强调文字颜色 1" xfId="36" builtinId="29"/>
    <cellStyle name="20% - 强调文字颜色 1" xfId="37" builtinId="30"/>
    <cellStyle name="40% - 强调文字颜色 1" xfId="38" builtinId="31"/>
    <cellStyle name="20% - 强调文字颜色 2" xfId="39" builtinId="34"/>
    <cellStyle name="40% - 强调文字颜色 2" xfId="40" builtinId="35"/>
    <cellStyle name="强调文字颜色 3" xfId="41" builtinId="37"/>
    <cellStyle name="强调文字颜色 4" xfId="42" builtinId="41"/>
    <cellStyle name="20% - 强调文字颜色 4" xfId="43" builtinId="42"/>
    <cellStyle name="40% - 强调文字颜色 4" xfId="44" builtinId="43"/>
    <cellStyle name="强调文字颜色 5" xfId="45" builtinId="45"/>
    <cellStyle name="40% - 强调文字颜色 5" xfId="46" builtinId="47"/>
    <cellStyle name="60% - 强调文字颜色 5" xfId="47" builtinId="48"/>
    <cellStyle name="强调文字颜色 6" xfId="48" builtinId="49"/>
    <cellStyle name="40% - 强调文字颜色 6" xfId="49" builtinId="51"/>
    <cellStyle name="60% - 强调文字颜色 6" xfId="50" builtinId="52"/>
    <cellStyle name="常规 2" xfId="51"/>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vmlDrawing3.v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vmlDrawing5.v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vmlDrawing7.v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vmlDrawing" Target="../drawings/vmlDrawing4.vml"/><Relationship Id="rId1"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vmlDrawing" Target="../drawings/vmlDrawing6.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1"/>
  <sheetViews>
    <sheetView tabSelected="1" workbookViewId="0">
      <selection activeCell="A1" sqref="A1:H1"/>
    </sheetView>
  </sheetViews>
  <sheetFormatPr defaultColWidth="9" defaultRowHeight="14.25" outlineLevelCol="7"/>
  <cols>
    <col min="1" max="1" width="7.33333333333333" customWidth="1"/>
    <col min="2" max="2" width="11.25" customWidth="1"/>
    <col min="3" max="3" width="13.75" customWidth="1"/>
    <col min="5" max="5" width="19.8333333333333" customWidth="1"/>
    <col min="6" max="6" width="11.5833333333333" customWidth="1"/>
    <col min="7" max="7" width="12.6666666666667" customWidth="1"/>
    <col min="8" max="8" width="13.6666666666667" customWidth="1"/>
  </cols>
  <sheetData>
    <row r="1" ht="50" customHeight="1" spans="1:8">
      <c r="A1" s="201" t="s">
        <v>0</v>
      </c>
      <c r="B1" s="201"/>
      <c r="C1" s="201"/>
      <c r="D1" s="201"/>
      <c r="E1" s="201"/>
      <c r="F1" s="201"/>
      <c r="G1" s="201"/>
      <c r="H1" s="201"/>
    </row>
    <row r="2" ht="34.5" customHeight="1" spans="1:8">
      <c r="A2" s="202" t="s">
        <v>1</v>
      </c>
      <c r="B2" s="203"/>
      <c r="C2" s="204" t="s">
        <v>2</v>
      </c>
      <c r="D2" s="205"/>
      <c r="E2" s="205"/>
      <c r="F2" s="205"/>
      <c r="G2" s="205"/>
      <c r="H2" s="206"/>
    </row>
    <row r="3" ht="24" customHeight="1" spans="1:8">
      <c r="A3" s="207" t="s">
        <v>3</v>
      </c>
      <c r="B3" s="208"/>
      <c r="C3" s="209" t="s">
        <v>4</v>
      </c>
      <c r="D3" s="210"/>
      <c r="E3" s="210"/>
      <c r="F3" s="210"/>
      <c r="G3" s="210"/>
      <c r="H3" s="211"/>
    </row>
    <row r="4" ht="46" customHeight="1" spans="1:8">
      <c r="A4" s="212" t="s">
        <v>5</v>
      </c>
      <c r="B4" s="213"/>
      <c r="C4" s="214" t="s">
        <v>6</v>
      </c>
      <c r="D4" s="214"/>
      <c r="E4" s="214"/>
      <c r="F4" s="214"/>
      <c r="G4" s="214"/>
      <c r="H4" s="215"/>
    </row>
    <row r="5" ht="55.5" customHeight="1" spans="1:8">
      <c r="A5" s="216"/>
      <c r="B5" s="216"/>
      <c r="C5" s="217"/>
      <c r="D5" s="217"/>
      <c r="E5" s="217"/>
      <c r="F5" s="217"/>
      <c r="G5" s="217"/>
      <c r="H5" s="216"/>
    </row>
    <row r="6" spans="1:8">
      <c r="A6" s="218" t="s">
        <v>7</v>
      </c>
      <c r="B6" s="219"/>
      <c r="C6" s="219"/>
      <c r="D6" s="219"/>
      <c r="E6" s="219"/>
      <c r="F6" s="219"/>
      <c r="G6" s="219"/>
      <c r="H6" s="220"/>
    </row>
    <row r="7" spans="1:8">
      <c r="A7" s="221" t="s">
        <v>8</v>
      </c>
      <c r="B7" s="222" t="s">
        <v>9</v>
      </c>
      <c r="C7" s="223" t="s">
        <v>10</v>
      </c>
      <c r="D7" s="224"/>
      <c r="E7" s="225"/>
      <c r="F7" s="222" t="s">
        <v>11</v>
      </c>
      <c r="G7" s="222" t="s">
        <v>12</v>
      </c>
      <c r="H7" s="226" t="s">
        <v>13</v>
      </c>
    </row>
    <row r="8" spans="1:8">
      <c r="A8" s="227" t="s">
        <v>14</v>
      </c>
      <c r="B8" s="228" t="s">
        <v>15</v>
      </c>
      <c r="C8" s="229"/>
      <c r="D8" s="229"/>
      <c r="E8" s="229"/>
      <c r="F8" s="230" t="s">
        <v>16</v>
      </c>
      <c r="G8" s="230" t="s">
        <v>17</v>
      </c>
      <c r="H8" s="231"/>
    </row>
    <row r="9" ht="27" customHeight="1" spans="1:8">
      <c r="A9" s="232" t="s">
        <v>18</v>
      </c>
      <c r="B9" s="233" t="s">
        <v>19</v>
      </c>
      <c r="C9" s="234" t="s">
        <v>20</v>
      </c>
      <c r="D9" s="234"/>
      <c r="E9" s="234"/>
      <c r="F9" s="235" t="s">
        <v>21</v>
      </c>
      <c r="G9" s="235" t="s">
        <v>17</v>
      </c>
      <c r="H9" s="231"/>
    </row>
    <row r="10" spans="1:8">
      <c r="A10" s="227"/>
      <c r="B10" s="228"/>
      <c r="C10" s="229"/>
      <c r="D10" s="229"/>
      <c r="E10" s="229"/>
      <c r="F10" s="230"/>
      <c r="G10" s="230"/>
      <c r="H10" s="231"/>
    </row>
    <row r="11" ht="15" spans="1:8">
      <c r="A11" s="236"/>
      <c r="B11" s="237"/>
      <c r="C11" s="238"/>
      <c r="D11" s="238"/>
      <c r="E11" s="238"/>
      <c r="F11" s="239"/>
      <c r="G11" s="239"/>
      <c r="H11" s="240"/>
    </row>
  </sheetData>
  <mergeCells count="13">
    <mergeCell ref="A1:H1"/>
    <mergeCell ref="A2:B2"/>
    <mergeCell ref="C2:H2"/>
    <mergeCell ref="A3:B3"/>
    <mergeCell ref="C3:H3"/>
    <mergeCell ref="A4:B4"/>
    <mergeCell ref="C4:H4"/>
    <mergeCell ref="A6:H6"/>
    <mergeCell ref="C7:E7"/>
    <mergeCell ref="C8:E8"/>
    <mergeCell ref="C9:E9"/>
    <mergeCell ref="C10:E10"/>
    <mergeCell ref="C11:E11"/>
  </mergeCells>
  <pageMargins left="0.708333333333333" right="0.708333333333333" top="0.747916666666667" bottom="0.747916666666667" header="0.314583333333333" footer="0.314583333333333"/>
  <pageSetup paperSize="9" orientation="landscape" horizontalDpi="600"/>
  <headerFooter>
    <oddHeader>&amp;L&amp;10&amp;B
&amp;G&amp;C&amp;B管理体系文件(A2)</oddHeader>
    <oddFooter>&amp;L&amp;10&amp;G&amp;C&amp;8第&amp;P页 共&amp;N页</oddFooter>
  </headerFooter>
  <legacyDrawingHF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Z72"/>
  <sheetViews>
    <sheetView workbookViewId="0">
      <selection activeCell="A1" sqref="A1"/>
    </sheetView>
  </sheetViews>
  <sheetFormatPr defaultColWidth="9" defaultRowHeight="17.25"/>
  <cols>
    <col min="1" max="1" width="3.91666666666667" style="88" customWidth="1"/>
    <col min="2" max="2" width="13.8333333333333" style="88" customWidth="1"/>
    <col min="3" max="3" width="14.25" style="88" customWidth="1"/>
    <col min="4" max="4" width="24.5" style="88" customWidth="1"/>
    <col min="5" max="5" width="25.25" style="88" customWidth="1"/>
    <col min="6" max="6" width="18.8333333333333" style="88" customWidth="1"/>
    <col min="7" max="7" width="9" style="88"/>
    <col min="8" max="8" width="17.5" style="88" customWidth="1"/>
    <col min="9" max="16384" width="9" style="88"/>
  </cols>
  <sheetData>
    <row r="1" ht="24.75" customHeight="1" spans="2:5">
      <c r="B1" s="102" t="s">
        <v>22</v>
      </c>
      <c r="C1" s="102"/>
      <c r="D1" s="102"/>
      <c r="E1" s="102"/>
    </row>
    <row r="2" spans="2:5">
      <c r="B2" s="103" t="s">
        <v>23</v>
      </c>
      <c r="C2" s="104" t="s">
        <v>24</v>
      </c>
      <c r="D2" s="104" t="s">
        <v>25</v>
      </c>
      <c r="E2" s="105" t="s">
        <v>26</v>
      </c>
    </row>
    <row r="3" ht="27" customHeight="1" spans="2:5">
      <c r="B3" s="106"/>
      <c r="C3" s="107"/>
      <c r="D3" s="107"/>
      <c r="E3" s="108"/>
    </row>
    <row r="4" spans="2:5">
      <c r="B4" s="109" t="s">
        <v>27</v>
      </c>
      <c r="C4" s="110" t="s">
        <v>28</v>
      </c>
      <c r="D4" s="111" t="s">
        <v>29</v>
      </c>
      <c r="E4" s="112" t="s">
        <v>30</v>
      </c>
    </row>
    <row r="5" spans="2:5">
      <c r="B5" s="109" t="s">
        <v>31</v>
      </c>
      <c r="C5" s="110" t="s">
        <v>32</v>
      </c>
      <c r="D5" s="111" t="s">
        <v>29</v>
      </c>
      <c r="E5" s="112" t="s">
        <v>33</v>
      </c>
    </row>
    <row r="6" ht="23.5" customHeight="1" spans="2:5">
      <c r="B6" s="113" t="s">
        <v>34</v>
      </c>
      <c r="C6" s="114" t="s">
        <v>35</v>
      </c>
      <c r="D6" s="115" t="s">
        <v>36</v>
      </c>
      <c r="E6" s="116" t="s">
        <v>37</v>
      </c>
    </row>
    <row r="7" ht="18" spans="2:5">
      <c r="B7" s="117"/>
      <c r="C7" s="117"/>
      <c r="D7" s="118"/>
      <c r="E7" s="118"/>
    </row>
    <row r="8" ht="18.75" customHeight="1" spans="2:6">
      <c r="B8" s="119" t="s">
        <v>38</v>
      </c>
      <c r="C8" s="120" t="s">
        <v>39</v>
      </c>
      <c r="D8" s="121"/>
      <c r="E8" s="121"/>
      <c r="F8" s="122"/>
    </row>
    <row r="9" ht="33" customHeight="1" spans="2:6">
      <c r="B9" s="123" t="s">
        <v>40</v>
      </c>
      <c r="C9" s="124" t="s">
        <v>41</v>
      </c>
      <c r="D9" s="124"/>
      <c r="E9" s="124"/>
      <c r="F9" s="125"/>
    </row>
    <row r="10" ht="20.25" customHeight="1" spans="2:6">
      <c r="B10" s="123"/>
      <c r="C10" s="111" t="s">
        <v>42</v>
      </c>
      <c r="D10" s="111"/>
      <c r="E10" s="111"/>
      <c r="F10" s="112"/>
    </row>
    <row r="11" ht="23.25" customHeight="1" spans="2:6">
      <c r="B11" s="123"/>
      <c r="C11" s="111" t="s">
        <v>43</v>
      </c>
      <c r="D11" s="111"/>
      <c r="E11" s="111"/>
      <c r="F11" s="112"/>
    </row>
    <row r="12" ht="24.75" customHeight="1" spans="2:6">
      <c r="B12" s="123"/>
      <c r="C12" s="111" t="s">
        <v>44</v>
      </c>
      <c r="D12" s="111"/>
      <c r="E12" s="111"/>
      <c r="F12" s="112"/>
    </row>
    <row r="13" ht="21.75" customHeight="1" spans="2:6">
      <c r="B13" s="123"/>
      <c r="C13" s="111" t="s">
        <v>45</v>
      </c>
      <c r="D13" s="111"/>
      <c r="E13" s="111"/>
      <c r="F13" s="112"/>
    </row>
    <row r="14" ht="34.5" customHeight="1" spans="2:6">
      <c r="B14" s="123"/>
      <c r="C14" s="111" t="s">
        <v>46</v>
      </c>
      <c r="D14" s="111"/>
      <c r="E14" s="111"/>
      <c r="F14" s="112"/>
    </row>
    <row r="15" ht="23.25" customHeight="1" spans="2:6">
      <c r="B15" s="123"/>
      <c r="C15" s="111" t="s">
        <v>47</v>
      </c>
      <c r="D15" s="111"/>
      <c r="E15" s="111"/>
      <c r="F15" s="112"/>
    </row>
    <row r="16" ht="23.25" customHeight="1" spans="2:6">
      <c r="B16" s="123" t="s">
        <v>48</v>
      </c>
      <c r="C16" s="126" t="s">
        <v>49</v>
      </c>
      <c r="D16" s="126"/>
      <c r="E16" s="126"/>
      <c r="F16" s="127"/>
    </row>
    <row r="17" ht="23.25" customHeight="1" spans="2:6">
      <c r="B17" s="123"/>
      <c r="C17" s="126" t="s">
        <v>50</v>
      </c>
      <c r="D17" s="126"/>
      <c r="E17" s="126"/>
      <c r="F17" s="127"/>
    </row>
    <row r="18" ht="23.25" customHeight="1" spans="2:6">
      <c r="B18" s="123"/>
      <c r="C18" s="126" t="s">
        <v>51</v>
      </c>
      <c r="D18" s="126"/>
      <c r="E18" s="126"/>
      <c r="F18" s="127"/>
    </row>
    <row r="19" ht="23.25" customHeight="1" spans="2:6">
      <c r="B19" s="123"/>
      <c r="C19" s="126" t="s">
        <v>52</v>
      </c>
      <c r="D19" s="126"/>
      <c r="E19" s="126"/>
      <c r="F19" s="127"/>
    </row>
    <row r="20" ht="18" spans="2:6">
      <c r="B20" s="128"/>
      <c r="C20" s="129" t="s">
        <v>53</v>
      </c>
      <c r="D20" s="129"/>
      <c r="E20" s="129"/>
      <c r="F20" s="130"/>
    </row>
    <row r="21" spans="2:5">
      <c r="B21" s="131"/>
      <c r="C21" s="117"/>
      <c r="D21" s="118"/>
      <c r="E21" s="118"/>
    </row>
    <row r="22" ht="29.25" customHeight="1" spans="2:26">
      <c r="B22" s="102" t="s">
        <v>54</v>
      </c>
      <c r="C22" s="102"/>
      <c r="D22" s="102"/>
      <c r="E22" s="102"/>
      <c r="F22" s="102"/>
      <c r="Z22" s="57"/>
    </row>
    <row r="23" ht="41.25" customHeight="1" spans="2:26">
      <c r="B23" s="132" t="s">
        <v>55</v>
      </c>
      <c r="C23" s="133" t="s">
        <v>56</v>
      </c>
      <c r="D23" s="133" t="s">
        <v>57</v>
      </c>
      <c r="E23" s="133" t="s">
        <v>58</v>
      </c>
      <c r="F23" s="133"/>
      <c r="G23" s="133" t="s">
        <v>59</v>
      </c>
      <c r="H23" s="134"/>
      <c r="Z23" s="57"/>
    </row>
    <row r="24" ht="19.5" customHeight="1" spans="2:26">
      <c r="B24" s="109" t="s">
        <v>27</v>
      </c>
      <c r="C24" s="135" t="s">
        <v>60</v>
      </c>
      <c r="D24" s="135" t="s">
        <v>61</v>
      </c>
      <c r="E24" s="110" t="s">
        <v>62</v>
      </c>
      <c r="F24" s="111" t="s">
        <v>30</v>
      </c>
      <c r="G24" s="135" t="s">
        <v>63</v>
      </c>
      <c r="H24" s="136"/>
      <c r="Z24" s="57"/>
    </row>
    <row r="25" spans="2:26">
      <c r="B25" s="109"/>
      <c r="C25" s="135"/>
      <c r="D25" s="135" t="s">
        <v>64</v>
      </c>
      <c r="E25" s="110"/>
      <c r="F25" s="111"/>
      <c r="G25" s="135"/>
      <c r="H25" s="136"/>
      <c r="Z25" s="57"/>
    </row>
    <row r="26" ht="21.75" customHeight="1" spans="2:26">
      <c r="B26" s="109" t="s">
        <v>31</v>
      </c>
      <c r="C26" s="110" t="s">
        <v>65</v>
      </c>
      <c r="D26" s="135" t="s">
        <v>66</v>
      </c>
      <c r="E26" s="110" t="s">
        <v>67</v>
      </c>
      <c r="F26" s="111" t="s">
        <v>33</v>
      </c>
      <c r="G26" s="135" t="s">
        <v>63</v>
      </c>
      <c r="H26" s="136"/>
      <c r="Z26" s="57"/>
    </row>
    <row r="27" spans="2:26">
      <c r="B27" s="109"/>
      <c r="C27" s="110"/>
      <c r="D27" s="135" t="s">
        <v>68</v>
      </c>
      <c r="E27" s="110"/>
      <c r="F27" s="111"/>
      <c r="G27" s="135"/>
      <c r="H27" s="136"/>
      <c r="Z27" s="57"/>
    </row>
    <row r="28" ht="21" customHeight="1" spans="2:26">
      <c r="B28" s="109" t="s">
        <v>34</v>
      </c>
      <c r="C28" s="135" t="s">
        <v>69</v>
      </c>
      <c r="D28" s="135" t="s">
        <v>70</v>
      </c>
      <c r="E28" s="110" t="s">
        <v>71</v>
      </c>
      <c r="F28" s="111" t="s">
        <v>37</v>
      </c>
      <c r="G28" s="135" t="s">
        <v>72</v>
      </c>
      <c r="H28" s="136"/>
      <c r="Z28" s="57"/>
    </row>
    <row r="29" ht="18" spans="2:26">
      <c r="B29" s="113"/>
      <c r="C29" s="137"/>
      <c r="D29" s="137" t="s">
        <v>73</v>
      </c>
      <c r="E29" s="114"/>
      <c r="F29" s="115"/>
      <c r="G29" s="137"/>
      <c r="H29" s="138"/>
      <c r="Z29" s="57"/>
    </row>
    <row r="31" ht="22.5" customHeight="1" spans="2:6">
      <c r="B31" s="139" t="s">
        <v>74</v>
      </c>
      <c r="C31" s="139"/>
      <c r="D31" s="139"/>
      <c r="E31" s="139"/>
      <c r="F31" s="139"/>
    </row>
    <row r="33" customHeight="1" spans="2:5">
      <c r="B33" s="140" t="s">
        <v>75</v>
      </c>
      <c r="C33" s="141"/>
      <c r="D33" s="141"/>
      <c r="E33" s="142"/>
    </row>
    <row r="34" spans="2:5">
      <c r="B34" s="143"/>
      <c r="C34" s="144"/>
      <c r="D34" s="144"/>
      <c r="E34" s="145"/>
    </row>
    <row r="35" spans="2:5">
      <c r="B35" s="143"/>
      <c r="C35" s="144"/>
      <c r="D35" s="144"/>
      <c r="E35" s="145"/>
    </row>
    <row r="36" spans="2:5">
      <c r="B36" s="146"/>
      <c r="C36" s="144"/>
      <c r="D36" s="144"/>
      <c r="E36" s="147"/>
    </row>
    <row r="37" ht="25.5" customHeight="1" spans="3:4">
      <c r="C37" s="148" t="s">
        <v>76</v>
      </c>
      <c r="D37" s="149" t="s">
        <v>77</v>
      </c>
    </row>
    <row r="38" spans="3:4">
      <c r="C38" s="109" t="s">
        <v>27</v>
      </c>
      <c r="D38" s="136" t="s">
        <v>60</v>
      </c>
    </row>
    <row r="39" spans="3:4">
      <c r="C39" s="109" t="s">
        <v>31</v>
      </c>
      <c r="D39" s="150" t="s">
        <v>65</v>
      </c>
    </row>
    <row r="40" ht="18" spans="3:4">
      <c r="C40" s="113" t="s">
        <v>34</v>
      </c>
      <c r="D40" s="151" t="s">
        <v>78</v>
      </c>
    </row>
    <row r="42" spans="2:5">
      <c r="B42" s="152" t="s">
        <v>79</v>
      </c>
      <c r="C42" s="153"/>
      <c r="D42" s="153"/>
      <c r="E42" s="154"/>
    </row>
    <row r="43" ht="31.5" spans="2:5">
      <c r="B43" s="155" t="s">
        <v>80</v>
      </c>
      <c r="C43" s="156" t="s">
        <v>81</v>
      </c>
      <c r="D43" s="156" t="s">
        <v>82</v>
      </c>
      <c r="E43" s="157" t="s">
        <v>83</v>
      </c>
    </row>
    <row r="44" ht="34.5" spans="2:5">
      <c r="B44" s="158" t="s">
        <v>27</v>
      </c>
      <c r="C44" s="135">
        <v>9</v>
      </c>
      <c r="D44" s="159" t="s">
        <v>84</v>
      </c>
      <c r="E44" s="160" t="s">
        <v>85</v>
      </c>
    </row>
    <row r="45" spans="2:5">
      <c r="B45" s="158"/>
      <c r="C45" s="135"/>
      <c r="D45" s="161" t="s">
        <v>86</v>
      </c>
      <c r="E45" s="160" t="s">
        <v>87</v>
      </c>
    </row>
    <row r="46" spans="2:5">
      <c r="B46" s="158"/>
      <c r="C46" s="135"/>
      <c r="D46" s="162"/>
      <c r="E46" s="163" t="s">
        <v>88</v>
      </c>
    </row>
    <row r="47" ht="18" customHeight="1" spans="2:5">
      <c r="B47" s="158" t="s">
        <v>31</v>
      </c>
      <c r="C47" s="135">
        <v>6</v>
      </c>
      <c r="D47" s="159" t="s">
        <v>89</v>
      </c>
      <c r="E47" s="160" t="s">
        <v>90</v>
      </c>
    </row>
    <row r="48" spans="2:5">
      <c r="B48" s="158"/>
      <c r="C48" s="135"/>
      <c r="D48" s="159"/>
      <c r="E48" s="160" t="s">
        <v>91</v>
      </c>
    </row>
    <row r="49" spans="2:5">
      <c r="B49" s="158"/>
      <c r="C49" s="135"/>
      <c r="D49" s="159"/>
      <c r="E49" s="160" t="s">
        <v>92</v>
      </c>
    </row>
    <row r="50" ht="51.75" spans="2:5">
      <c r="B50" s="158" t="s">
        <v>34</v>
      </c>
      <c r="C50" s="135">
        <v>3</v>
      </c>
      <c r="D50" s="159" t="s">
        <v>93</v>
      </c>
      <c r="E50" s="160"/>
    </row>
    <row r="51" ht="18" spans="2:5">
      <c r="B51" s="164" t="s">
        <v>94</v>
      </c>
      <c r="C51" s="165"/>
      <c r="D51" s="165"/>
      <c r="E51" s="166"/>
    </row>
    <row r="54" spans="2:8">
      <c r="B54" s="167" t="s">
        <v>95</v>
      </c>
      <c r="C54" s="168"/>
      <c r="D54" s="169"/>
      <c r="F54" s="170" t="s">
        <v>96</v>
      </c>
      <c r="G54" s="171"/>
      <c r="H54" s="172"/>
    </row>
    <row r="55" ht="31.5" spans="2:8">
      <c r="B55" s="173" t="s">
        <v>97</v>
      </c>
      <c r="C55" s="174" t="s">
        <v>81</v>
      </c>
      <c r="D55" s="175" t="s">
        <v>98</v>
      </c>
      <c r="F55" s="173" t="s">
        <v>99</v>
      </c>
      <c r="G55" s="176" t="s">
        <v>81</v>
      </c>
      <c r="H55" s="177" t="s">
        <v>100</v>
      </c>
    </row>
    <row r="56" spans="2:8">
      <c r="B56" s="158" t="s">
        <v>27</v>
      </c>
      <c r="C56" s="135">
        <v>3</v>
      </c>
      <c r="D56" s="136" t="s">
        <v>101</v>
      </c>
      <c r="F56" s="158" t="s">
        <v>27</v>
      </c>
      <c r="G56" s="135">
        <v>6</v>
      </c>
      <c r="H56" s="136" t="s">
        <v>102</v>
      </c>
    </row>
    <row r="57" spans="2:8">
      <c r="B57" s="158" t="s">
        <v>31</v>
      </c>
      <c r="C57" s="135">
        <v>2</v>
      </c>
      <c r="D57" s="136" t="s">
        <v>103</v>
      </c>
      <c r="F57" s="158" t="s">
        <v>31</v>
      </c>
      <c r="G57" s="135">
        <v>4</v>
      </c>
      <c r="H57" s="136" t="s">
        <v>104</v>
      </c>
    </row>
    <row r="58" ht="18" spans="2:8">
      <c r="B58" s="178" t="s">
        <v>34</v>
      </c>
      <c r="C58" s="137">
        <v>1</v>
      </c>
      <c r="D58" s="138" t="s">
        <v>105</v>
      </c>
      <c r="F58" s="178" t="s">
        <v>34</v>
      </c>
      <c r="G58" s="137">
        <v>2</v>
      </c>
      <c r="H58" s="138" t="s">
        <v>106</v>
      </c>
    </row>
    <row r="61" spans="2:6">
      <c r="B61" s="148" t="s">
        <v>107</v>
      </c>
      <c r="C61" s="179" t="s">
        <v>108</v>
      </c>
      <c r="D61" s="180"/>
      <c r="E61" s="181" t="s">
        <v>109</v>
      </c>
      <c r="F61" s="149" t="s">
        <v>110</v>
      </c>
    </row>
    <row r="62" spans="2:6">
      <c r="B62" s="173"/>
      <c r="C62" s="182"/>
      <c r="D62" s="183"/>
      <c r="E62" s="176" t="s">
        <v>111</v>
      </c>
      <c r="F62" s="177"/>
    </row>
    <row r="63" ht="66.75" customHeight="1" spans="2:6">
      <c r="B63" s="109" t="s">
        <v>67</v>
      </c>
      <c r="C63" s="184" t="s">
        <v>112</v>
      </c>
      <c r="D63" s="185"/>
      <c r="E63" s="186" t="s">
        <v>113</v>
      </c>
      <c r="F63" s="187" t="s">
        <v>114</v>
      </c>
    </row>
    <row r="64" ht="60" customHeight="1" spans="2:6">
      <c r="B64" s="178" t="s">
        <v>115</v>
      </c>
      <c r="C64" s="188" t="s">
        <v>116</v>
      </c>
      <c r="D64" s="189"/>
      <c r="E64" s="190" t="s">
        <v>117</v>
      </c>
      <c r="F64" s="116" t="s">
        <v>118</v>
      </c>
    </row>
    <row r="66" ht="23.25" customHeight="1" spans="2:6">
      <c r="B66" s="191" t="s">
        <v>119</v>
      </c>
      <c r="C66" s="192" t="s">
        <v>120</v>
      </c>
      <c r="D66" s="192"/>
      <c r="E66" s="192"/>
      <c r="F66" s="193"/>
    </row>
    <row r="67" ht="21.75" customHeight="1" spans="2:6">
      <c r="B67" s="194"/>
      <c r="C67" s="195" t="s">
        <v>121</v>
      </c>
      <c r="D67" s="195"/>
      <c r="E67" s="195"/>
      <c r="F67" s="196"/>
    </row>
    <row r="68" ht="20.25" customHeight="1" spans="2:6">
      <c r="B68" s="194"/>
      <c r="C68" s="195" t="s">
        <v>122</v>
      </c>
      <c r="D68" s="195"/>
      <c r="E68" s="195"/>
      <c r="F68" s="196"/>
    </row>
    <row r="69" ht="21" customHeight="1" spans="2:6">
      <c r="B69" s="194"/>
      <c r="C69" s="195" t="s">
        <v>123</v>
      </c>
      <c r="D69" s="195"/>
      <c r="E69" s="195"/>
      <c r="F69" s="196"/>
    </row>
    <row r="70" ht="22.5" customHeight="1" spans="2:6">
      <c r="B70" s="194"/>
      <c r="C70" s="195" t="s">
        <v>124</v>
      </c>
      <c r="D70" s="195"/>
      <c r="E70" s="195"/>
      <c r="F70" s="196"/>
    </row>
    <row r="71" ht="21.75" customHeight="1" spans="2:6">
      <c r="B71" s="197"/>
      <c r="C71" s="198" t="s">
        <v>125</v>
      </c>
      <c r="D71" s="198"/>
      <c r="E71" s="198"/>
      <c r="F71" s="199"/>
    </row>
    <row r="72" spans="2:2">
      <c r="B72" s="200"/>
    </row>
  </sheetData>
  <mergeCells count="60">
    <mergeCell ref="B1:E1"/>
    <mergeCell ref="C8:F8"/>
    <mergeCell ref="C9:F9"/>
    <mergeCell ref="C10:F10"/>
    <mergeCell ref="C11:F11"/>
    <mergeCell ref="C12:F12"/>
    <mergeCell ref="C13:F13"/>
    <mergeCell ref="C14:F14"/>
    <mergeCell ref="C15:F15"/>
    <mergeCell ref="C16:F16"/>
    <mergeCell ref="C17:F17"/>
    <mergeCell ref="C18:F18"/>
    <mergeCell ref="C19:F19"/>
    <mergeCell ref="C20:F20"/>
    <mergeCell ref="B22:F22"/>
    <mergeCell ref="G23:H23"/>
    <mergeCell ref="B31:F31"/>
    <mergeCell ref="B42:E42"/>
    <mergeCell ref="B51:E51"/>
    <mergeCell ref="B54:D54"/>
    <mergeCell ref="F54:H54"/>
    <mergeCell ref="C63:D63"/>
    <mergeCell ref="C64:D64"/>
    <mergeCell ref="C66:F66"/>
    <mergeCell ref="C67:F67"/>
    <mergeCell ref="C68:F68"/>
    <mergeCell ref="C69:F69"/>
    <mergeCell ref="C70:F70"/>
    <mergeCell ref="C71:F71"/>
    <mergeCell ref="B2:B3"/>
    <mergeCell ref="B9:B15"/>
    <mergeCell ref="B16:B20"/>
    <mergeCell ref="B24:B25"/>
    <mergeCell ref="B26:B27"/>
    <mergeCell ref="B28:B29"/>
    <mergeCell ref="B44:B46"/>
    <mergeCell ref="B47:B49"/>
    <mergeCell ref="B61:B62"/>
    <mergeCell ref="B66:B71"/>
    <mergeCell ref="C2:C3"/>
    <mergeCell ref="C24:C25"/>
    <mergeCell ref="C26:C27"/>
    <mergeCell ref="C28:C29"/>
    <mergeCell ref="C44:C46"/>
    <mergeCell ref="C47:C49"/>
    <mergeCell ref="D2:D3"/>
    <mergeCell ref="D45:D46"/>
    <mergeCell ref="D47:D49"/>
    <mergeCell ref="E2:E3"/>
    <mergeCell ref="E24:E25"/>
    <mergeCell ref="E26:E27"/>
    <mergeCell ref="E28:E29"/>
    <mergeCell ref="F24:F25"/>
    <mergeCell ref="F26:F27"/>
    <mergeCell ref="F28:F29"/>
    <mergeCell ref="C61:D62"/>
    <mergeCell ref="B33:E36"/>
    <mergeCell ref="G24:H25"/>
    <mergeCell ref="G26:H27"/>
    <mergeCell ref="G28:H29"/>
  </mergeCells>
  <pageMargins left="0.708333333333333" right="0.708333333333333" top="0.747916666666667" bottom="0.747916666666667" header="0.314583333333333" footer="0.314583333333333"/>
  <pageSetup paperSize="9" orientation="landscape" horizontalDpi="600"/>
  <headerFooter>
    <oddHeader>&amp;L&amp;10&amp;B
&amp;G&amp;C&amp;B管理体系文件(A2)</oddHeader>
    <oddFooter>&amp;L&amp;10&amp;G&amp;C&amp;8第&amp;P页 共&amp;N页</oddFooter>
  </headerFooter>
  <legacyDrawingHF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8"/>
  <sheetViews>
    <sheetView workbookViewId="0">
      <selection activeCell="A1" sqref="A1:D1"/>
    </sheetView>
  </sheetViews>
  <sheetFormatPr defaultColWidth="9" defaultRowHeight="14.25" outlineLevelRow="7" outlineLevelCol="3"/>
  <cols>
    <col min="1" max="1" width="23.25" customWidth="1"/>
    <col min="2" max="2" width="53.3333333333333" customWidth="1"/>
    <col min="3" max="3" width="26.5" customWidth="1"/>
    <col min="4" max="4" width="16.5833333333333" customWidth="1"/>
  </cols>
  <sheetData>
    <row r="1" ht="23.25" customHeight="1" spans="1:4">
      <c r="A1" s="90" t="s">
        <v>126</v>
      </c>
      <c r="B1" s="90"/>
      <c r="C1" s="90"/>
      <c r="D1" s="90"/>
    </row>
    <row r="2" ht="21" customHeight="1" spans="1:4">
      <c r="A2" s="91" t="s">
        <v>127</v>
      </c>
      <c r="B2" s="91" t="s">
        <v>128</v>
      </c>
      <c r="C2" s="91" t="s">
        <v>129</v>
      </c>
      <c r="D2" s="92" t="s">
        <v>130</v>
      </c>
    </row>
    <row r="3" ht="75" customHeight="1" spans="1:4">
      <c r="A3" s="93" t="s">
        <v>131</v>
      </c>
      <c r="B3" s="36" t="s">
        <v>132</v>
      </c>
      <c r="C3" s="36" t="s">
        <v>133</v>
      </c>
      <c r="D3" s="94" t="s">
        <v>134</v>
      </c>
    </row>
    <row r="4" ht="43.5" customHeight="1" spans="1:4">
      <c r="A4" s="93" t="s">
        <v>135</v>
      </c>
      <c r="B4" s="36" t="s">
        <v>136</v>
      </c>
      <c r="C4" s="36"/>
      <c r="D4" s="94" t="s">
        <v>134</v>
      </c>
    </row>
    <row r="5" ht="54.75" customHeight="1" spans="1:4">
      <c r="A5" s="93" t="s">
        <v>137</v>
      </c>
      <c r="B5" s="36" t="s">
        <v>138</v>
      </c>
      <c r="C5" s="36" t="s">
        <v>139</v>
      </c>
      <c r="D5" s="94" t="s">
        <v>140</v>
      </c>
    </row>
    <row r="6" ht="113" customHeight="1" spans="1:4">
      <c r="A6" s="93" t="s">
        <v>141</v>
      </c>
      <c r="B6" s="95" t="s">
        <v>142</v>
      </c>
      <c r="C6" s="36" t="s">
        <v>143</v>
      </c>
      <c r="D6" s="94" t="s">
        <v>144</v>
      </c>
    </row>
    <row r="7" ht="54.75" customHeight="1" spans="1:4">
      <c r="A7" s="96" t="s">
        <v>145</v>
      </c>
      <c r="B7" s="97" t="s">
        <v>146</v>
      </c>
      <c r="C7" s="97" t="s">
        <v>147</v>
      </c>
      <c r="D7" s="94" t="s">
        <v>140</v>
      </c>
    </row>
    <row r="8" ht="36" customHeight="1" spans="1:4">
      <c r="A8" s="98" t="s">
        <v>148</v>
      </c>
      <c r="B8" s="99" t="s">
        <v>149</v>
      </c>
      <c r="C8" s="100" t="s">
        <v>150</v>
      </c>
      <c r="D8" s="101" t="s">
        <v>151</v>
      </c>
    </row>
  </sheetData>
  <mergeCells count="1">
    <mergeCell ref="A1:D1"/>
  </mergeCells>
  <pageMargins left="0.708333333333333" right="0.708333333333333" top="0.747916666666667" bottom="0.747916666666667" header="0.314583333333333" footer="0.314583333333333"/>
  <pageSetup paperSize="9" orientation="landscape" horizontalDpi="600"/>
  <headerFooter>
    <oddHeader>&amp;L&amp;10&amp;B
&amp;G&amp;C&amp;B管理体系文件(A2)</oddHeader>
    <oddFooter>&amp;L&amp;10&amp;G&amp;C&amp;8第&amp;P页 共&amp;N页</oddFooter>
  </headerFooter>
  <legacyDrawingHF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23"/>
  <sheetViews>
    <sheetView topLeftCell="D1" workbookViewId="0">
      <pane ySplit="5" topLeftCell="A6" activePane="bottomLeft" state="frozen"/>
      <selection/>
      <selection pane="bottomLeft" activeCell="A1" sqref="A1:P1"/>
    </sheetView>
  </sheetViews>
  <sheetFormatPr defaultColWidth="9" defaultRowHeight="17.25"/>
  <cols>
    <col min="1" max="1" width="4.75" style="1" customWidth="1"/>
    <col min="2" max="2" width="10.75" style="1" customWidth="1"/>
    <col min="3" max="3" width="10.5" style="1" customWidth="1"/>
    <col min="4" max="4" width="13.75" style="1" customWidth="1"/>
    <col min="5" max="5" width="13.5" style="1" hidden="1" customWidth="1"/>
    <col min="6" max="6" width="23.3333333333333" style="1" customWidth="1"/>
    <col min="7" max="7" width="7.08333333333333" style="1" customWidth="1"/>
    <col min="8" max="8" width="6" style="1" customWidth="1"/>
    <col min="9" max="9" width="6.25" style="1" customWidth="1"/>
    <col min="10" max="10" width="6.33333333333333" style="1" customWidth="1"/>
    <col min="11" max="12" width="7" style="1" customWidth="1"/>
    <col min="13" max="13" width="12.5833333333333" style="1" customWidth="1"/>
    <col min="14" max="14" width="10.3333333333333" style="1" customWidth="1"/>
    <col min="15" max="15" width="7.33333333333333" style="1" customWidth="1"/>
    <col min="16" max="16" width="18.5" style="1" customWidth="1"/>
    <col min="17" max="17" width="24.0833333333333" style="1" customWidth="1"/>
    <col min="18" max="18" width="10.0833333333333" style="1" customWidth="1"/>
    <col min="19" max="19" width="8.75" style="1" customWidth="1"/>
    <col min="20" max="20" width="13" style="1" customWidth="1"/>
    <col min="21" max="26" width="9" style="1"/>
    <col min="27" max="27" width="9" style="1" customWidth="1"/>
    <col min="28" max="28" width="9" style="59" customWidth="1"/>
    <col min="29" max="31" width="9" style="1" customWidth="1"/>
    <col min="32" max="16384" width="9" style="1"/>
  </cols>
  <sheetData>
    <row r="1" ht="26.25" spans="1:16">
      <c r="A1" s="5" t="s">
        <v>152</v>
      </c>
      <c r="B1" s="5"/>
      <c r="C1" s="5"/>
      <c r="D1" s="5"/>
      <c r="E1" s="5"/>
      <c r="F1" s="5"/>
      <c r="G1" s="5"/>
      <c r="H1" s="5"/>
      <c r="I1" s="5"/>
      <c r="J1" s="5"/>
      <c r="K1" s="5"/>
      <c r="L1" s="5"/>
      <c r="M1" s="5"/>
      <c r="N1" s="5"/>
      <c r="O1" s="5"/>
      <c r="P1" s="5"/>
    </row>
    <row r="2" ht="14.25" customHeight="1" spans="1:20">
      <c r="A2" s="6" t="s">
        <v>153</v>
      </c>
      <c r="B2" s="6"/>
      <c r="C2" s="6"/>
      <c r="D2" s="6"/>
      <c r="E2" s="6"/>
      <c r="F2" s="6"/>
      <c r="G2" s="6"/>
      <c r="H2" s="6"/>
      <c r="I2" s="6"/>
      <c r="J2" s="6"/>
      <c r="K2" s="6"/>
      <c r="L2" s="6"/>
      <c r="M2" s="6"/>
      <c r="N2" s="6"/>
      <c r="O2" s="6"/>
      <c r="P2" s="6"/>
      <c r="Q2" s="6"/>
      <c r="R2" s="6"/>
      <c r="S2" s="6"/>
      <c r="T2" s="51"/>
    </row>
    <row r="3" s="2" customFormat="1" ht="15.75" customHeight="1" spans="1:31">
      <c r="A3" s="7" t="s">
        <v>154</v>
      </c>
      <c r="B3" s="7"/>
      <c r="C3" s="7"/>
      <c r="D3" s="7"/>
      <c r="E3" s="7"/>
      <c r="F3" s="7"/>
      <c r="G3" s="7"/>
      <c r="H3" s="7"/>
      <c r="I3" s="7"/>
      <c r="J3" s="7"/>
      <c r="K3" s="69" t="s">
        <v>155</v>
      </c>
      <c r="L3" s="69"/>
      <c r="M3" s="69"/>
      <c r="N3" s="25" t="s">
        <v>156</v>
      </c>
      <c r="O3" s="25"/>
      <c r="P3" s="25"/>
      <c r="Q3" s="25"/>
      <c r="R3" s="25"/>
      <c r="S3" s="25"/>
      <c r="T3" s="52"/>
      <c r="AB3" s="57" t="s">
        <v>27</v>
      </c>
      <c r="AC3" s="88">
        <v>9</v>
      </c>
      <c r="AD3" s="2">
        <v>3</v>
      </c>
      <c r="AE3" s="2">
        <v>6</v>
      </c>
    </row>
    <row r="4" s="3" customFormat="1" ht="12" customHeight="1" spans="1:31">
      <c r="A4" s="8" t="s">
        <v>157</v>
      </c>
      <c r="B4" s="8" t="s">
        <v>158</v>
      </c>
      <c r="C4" s="9" t="s">
        <v>159</v>
      </c>
      <c r="D4" s="10"/>
      <c r="E4" s="10"/>
      <c r="F4" s="11"/>
      <c r="G4" s="8" t="s">
        <v>160</v>
      </c>
      <c r="H4" s="26" t="s">
        <v>80</v>
      </c>
      <c r="I4" s="26" t="s">
        <v>161</v>
      </c>
      <c r="J4" s="26" t="s">
        <v>99</v>
      </c>
      <c r="K4" s="27" t="s">
        <v>162</v>
      </c>
      <c r="L4" s="27" t="s">
        <v>163</v>
      </c>
      <c r="M4" s="27" t="s">
        <v>57</v>
      </c>
      <c r="N4" s="28" t="s">
        <v>164</v>
      </c>
      <c r="O4" s="28" t="s">
        <v>165</v>
      </c>
      <c r="P4" s="28" t="s">
        <v>67</v>
      </c>
      <c r="Q4" s="29" t="s">
        <v>115</v>
      </c>
      <c r="R4" s="29" t="s">
        <v>166</v>
      </c>
      <c r="S4" s="28" t="s">
        <v>167</v>
      </c>
      <c r="T4" s="53" t="s">
        <v>168</v>
      </c>
      <c r="AB4" s="57" t="s">
        <v>31</v>
      </c>
      <c r="AC4" s="88">
        <v>6</v>
      </c>
      <c r="AD4" s="3">
        <v>2</v>
      </c>
      <c r="AE4" s="3">
        <v>4</v>
      </c>
    </row>
    <row r="5" s="2" customFormat="1" ht="19.5" customHeight="1" spans="1:31">
      <c r="A5" s="12"/>
      <c r="B5" s="12"/>
      <c r="C5" s="13" t="s">
        <v>169</v>
      </c>
      <c r="D5" s="13" t="s">
        <v>170</v>
      </c>
      <c r="E5" s="14" t="s">
        <v>171</v>
      </c>
      <c r="F5" s="14" t="s">
        <v>159</v>
      </c>
      <c r="G5" s="12"/>
      <c r="H5" s="30"/>
      <c r="I5" s="30"/>
      <c r="J5" s="30"/>
      <c r="K5" s="27"/>
      <c r="L5" s="27"/>
      <c r="M5" s="27"/>
      <c r="N5" s="31"/>
      <c r="O5" s="31"/>
      <c r="P5" s="31"/>
      <c r="Q5" s="29"/>
      <c r="R5" s="29"/>
      <c r="S5" s="31"/>
      <c r="T5" s="53"/>
      <c r="AB5" s="57" t="s">
        <v>34</v>
      </c>
      <c r="AC5" s="88">
        <v>3</v>
      </c>
      <c r="AD5" s="2">
        <v>1</v>
      </c>
      <c r="AE5" s="2">
        <v>2</v>
      </c>
    </row>
    <row r="6" s="4" customFormat="1" ht="30" customHeight="1" spans="1:29">
      <c r="A6" s="60">
        <v>1</v>
      </c>
      <c r="B6" s="60"/>
      <c r="C6" s="60"/>
      <c r="D6" s="61" t="s">
        <v>172</v>
      </c>
      <c r="E6" s="60"/>
      <c r="F6" s="60"/>
      <c r="G6" s="60"/>
      <c r="H6" s="61" t="s">
        <v>27</v>
      </c>
      <c r="I6" s="61" t="s">
        <v>27</v>
      </c>
      <c r="J6" s="61" t="s">
        <v>27</v>
      </c>
      <c r="K6" s="70">
        <f>IF(H6="","",VLOOKUP(H6,$AB$3:$AE$5,2,FALSE)*VLOOKUP(I6,$AB$3:$AE$5,3,FALSE)*VLOOKUP(J6,$AB$3:$AE$5,4,FALSE))</f>
        <v>162</v>
      </c>
      <c r="L6" s="70" t="str">
        <f>IF(K6="","",VLOOKUP(K6,$AB$6:$AC$15,2,FALSE))</f>
        <v>高</v>
      </c>
      <c r="M6" s="61" t="s">
        <v>61</v>
      </c>
      <c r="N6" s="71">
        <v>43435</v>
      </c>
      <c r="O6" s="72" t="s">
        <v>173</v>
      </c>
      <c r="P6" s="72" t="s">
        <v>174</v>
      </c>
      <c r="Q6" s="84" t="s">
        <v>175</v>
      </c>
      <c r="R6" s="76"/>
      <c r="S6" s="76"/>
      <c r="T6" s="85" t="s">
        <v>176</v>
      </c>
      <c r="AB6" s="89">
        <v>162</v>
      </c>
      <c r="AC6" s="4" t="s">
        <v>27</v>
      </c>
    </row>
    <row r="7" s="4" customFormat="1" ht="18" customHeight="1" spans="1:29">
      <c r="A7" s="62"/>
      <c r="B7" s="62"/>
      <c r="C7" s="62"/>
      <c r="D7" s="63"/>
      <c r="E7" s="62"/>
      <c r="F7" s="62"/>
      <c r="G7" s="62"/>
      <c r="H7" s="63"/>
      <c r="I7" s="63"/>
      <c r="J7" s="63"/>
      <c r="K7" s="73"/>
      <c r="L7" s="73"/>
      <c r="M7" s="63"/>
      <c r="N7" s="71">
        <v>43467</v>
      </c>
      <c r="O7" s="72" t="s">
        <v>173</v>
      </c>
      <c r="P7" s="74"/>
      <c r="Q7" s="76"/>
      <c r="R7" s="76"/>
      <c r="S7" s="76"/>
      <c r="T7" s="85" t="s">
        <v>177</v>
      </c>
      <c r="AB7" s="89">
        <v>108</v>
      </c>
      <c r="AC7" s="4" t="s">
        <v>27</v>
      </c>
    </row>
    <row r="8" s="4" customFormat="1" customHeight="1" spans="1:29">
      <c r="A8" s="62"/>
      <c r="B8" s="62"/>
      <c r="C8" s="62"/>
      <c r="D8" s="63"/>
      <c r="E8" s="62"/>
      <c r="F8" s="62"/>
      <c r="G8" s="62"/>
      <c r="H8" s="63"/>
      <c r="I8" s="63"/>
      <c r="J8" s="63"/>
      <c r="K8" s="73"/>
      <c r="L8" s="73"/>
      <c r="M8" s="75"/>
      <c r="N8" s="71">
        <v>43527</v>
      </c>
      <c r="O8" s="72" t="s">
        <v>173</v>
      </c>
      <c r="P8" s="74"/>
      <c r="Q8" s="76"/>
      <c r="R8" s="76"/>
      <c r="S8" s="76"/>
      <c r="T8" s="85" t="s">
        <v>177</v>
      </c>
      <c r="AB8" s="89">
        <v>72</v>
      </c>
      <c r="AC8" s="4" t="s">
        <v>27</v>
      </c>
    </row>
    <row r="9" s="4" customFormat="1" ht="16.5" customHeight="1" spans="1:29">
      <c r="A9" s="60">
        <v>2</v>
      </c>
      <c r="B9" s="60"/>
      <c r="C9" s="60"/>
      <c r="D9" s="64"/>
      <c r="E9" s="60"/>
      <c r="F9" s="60"/>
      <c r="G9" s="60"/>
      <c r="H9" s="61" t="s">
        <v>31</v>
      </c>
      <c r="I9" s="61" t="s">
        <v>34</v>
      </c>
      <c r="J9" s="61" t="s">
        <v>27</v>
      </c>
      <c r="K9" s="70">
        <f>IF(H9="","",VLOOKUP(H9,$AB$3:$AE$5,2,FALSE)*VLOOKUP(I9,$AB$3:$AE$5,3,FALSE)*VLOOKUP(J9,$AB$3:$AE$5,4,FALSE))</f>
        <v>36</v>
      </c>
      <c r="L9" s="70" t="str">
        <f>IF(K9="","",VLOOKUP(K9,$AB$6:$AC$15,2,FALSE))</f>
        <v>中</v>
      </c>
      <c r="M9" s="61" t="s">
        <v>70</v>
      </c>
      <c r="N9" s="76"/>
      <c r="O9" s="74"/>
      <c r="P9" s="74"/>
      <c r="Q9" s="76"/>
      <c r="R9" s="76"/>
      <c r="S9" s="76"/>
      <c r="T9" s="86"/>
      <c r="AB9" s="89">
        <v>54</v>
      </c>
      <c r="AC9" s="4" t="s">
        <v>31</v>
      </c>
    </row>
    <row r="10" s="4" customFormat="1" ht="16.5" customHeight="1" spans="1:29">
      <c r="A10" s="62"/>
      <c r="B10" s="62"/>
      <c r="C10" s="62"/>
      <c r="D10" s="65"/>
      <c r="E10" s="62"/>
      <c r="F10" s="62"/>
      <c r="G10" s="62"/>
      <c r="H10" s="63"/>
      <c r="I10" s="63"/>
      <c r="J10" s="63"/>
      <c r="K10" s="73"/>
      <c r="L10" s="73"/>
      <c r="M10" s="63"/>
      <c r="N10" s="76"/>
      <c r="O10" s="74"/>
      <c r="P10" s="74"/>
      <c r="Q10" s="76"/>
      <c r="R10" s="76"/>
      <c r="S10" s="76"/>
      <c r="T10" s="86"/>
      <c r="AB10" s="89">
        <v>48</v>
      </c>
      <c r="AC10" s="4" t="s">
        <v>31</v>
      </c>
    </row>
    <row r="11" s="4" customFormat="1" ht="16.5" customHeight="1" spans="1:29">
      <c r="A11" s="62"/>
      <c r="B11" s="62"/>
      <c r="C11" s="62"/>
      <c r="D11" s="65"/>
      <c r="E11" s="62"/>
      <c r="F11" s="62"/>
      <c r="G11" s="62"/>
      <c r="H11" s="63"/>
      <c r="I11" s="63"/>
      <c r="J11" s="63"/>
      <c r="K11" s="73"/>
      <c r="L11" s="73"/>
      <c r="M11" s="63"/>
      <c r="N11" s="76"/>
      <c r="O11" s="74"/>
      <c r="P11" s="74"/>
      <c r="Q11" s="76"/>
      <c r="R11" s="76"/>
      <c r="S11" s="76"/>
      <c r="T11" s="86"/>
      <c r="AB11" s="89">
        <v>36</v>
      </c>
      <c r="AC11" s="4" t="s">
        <v>31</v>
      </c>
    </row>
    <row r="12" s="4" customFormat="1" ht="16.5" customHeight="1" spans="1:29">
      <c r="A12" s="60">
        <v>3</v>
      </c>
      <c r="B12" s="60"/>
      <c r="C12" s="60"/>
      <c r="D12" s="64"/>
      <c r="E12" s="60"/>
      <c r="F12" s="60"/>
      <c r="G12" s="60"/>
      <c r="H12" s="61" t="s">
        <v>34</v>
      </c>
      <c r="I12" s="61" t="s">
        <v>31</v>
      </c>
      <c r="J12" s="61" t="s">
        <v>34</v>
      </c>
      <c r="K12" s="70">
        <f>IF(H12="","",VLOOKUP(H12,$AB$3:$AE$5,2,FALSE)*VLOOKUP(I12,$AB$3:$AE$5,3,FALSE)*VLOOKUP(J12,$AB$3:$AE$5,4,FALSE))</f>
        <v>12</v>
      </c>
      <c r="L12" s="70" t="str">
        <f>IF(K12="","",VLOOKUP(K12,$AB$6:$AC$15,2,FALSE))</f>
        <v>低</v>
      </c>
      <c r="M12" s="61" t="s">
        <v>178</v>
      </c>
      <c r="N12" s="76"/>
      <c r="O12" s="74"/>
      <c r="P12" s="74"/>
      <c r="Q12" s="76"/>
      <c r="R12" s="76"/>
      <c r="S12" s="76"/>
      <c r="T12" s="86"/>
      <c r="AB12" s="89">
        <v>24</v>
      </c>
      <c r="AC12" s="4" t="s">
        <v>34</v>
      </c>
    </row>
    <row r="13" s="4" customFormat="1" ht="16.5" customHeight="1" spans="1:29">
      <c r="A13" s="62"/>
      <c r="B13" s="62"/>
      <c r="C13" s="62"/>
      <c r="D13" s="65"/>
      <c r="E13" s="62"/>
      <c r="F13" s="62"/>
      <c r="G13" s="62"/>
      <c r="H13" s="63"/>
      <c r="I13" s="63"/>
      <c r="J13" s="63"/>
      <c r="K13" s="73"/>
      <c r="L13" s="73"/>
      <c r="M13" s="63"/>
      <c r="N13" s="76"/>
      <c r="O13" s="74"/>
      <c r="P13" s="74"/>
      <c r="Q13" s="76"/>
      <c r="R13" s="76"/>
      <c r="S13" s="76"/>
      <c r="T13" s="86"/>
      <c r="AB13" s="89">
        <v>18</v>
      </c>
      <c r="AC13" s="4" t="s">
        <v>34</v>
      </c>
    </row>
    <row r="14" s="4" customFormat="1" ht="16.5" customHeight="1" spans="1:29">
      <c r="A14" s="62"/>
      <c r="B14" s="62"/>
      <c r="C14" s="62"/>
      <c r="D14" s="65"/>
      <c r="E14" s="62"/>
      <c r="F14" s="62"/>
      <c r="G14" s="62"/>
      <c r="H14" s="63"/>
      <c r="I14" s="63"/>
      <c r="J14" s="63"/>
      <c r="K14" s="73"/>
      <c r="L14" s="73"/>
      <c r="M14" s="63"/>
      <c r="N14" s="76"/>
      <c r="O14" s="74"/>
      <c r="P14" s="74"/>
      <c r="Q14" s="76"/>
      <c r="R14" s="76"/>
      <c r="S14" s="76"/>
      <c r="T14" s="86"/>
      <c r="AB14" s="89">
        <v>12</v>
      </c>
      <c r="AC14" s="4" t="s">
        <v>34</v>
      </c>
    </row>
    <row r="15" s="4" customFormat="1" ht="16.5" customHeight="1" spans="1:29">
      <c r="A15" s="60">
        <v>4</v>
      </c>
      <c r="B15" s="60"/>
      <c r="C15" s="60"/>
      <c r="D15" s="64"/>
      <c r="E15" s="60"/>
      <c r="F15" s="60"/>
      <c r="G15" s="60"/>
      <c r="H15" s="60"/>
      <c r="I15" s="60"/>
      <c r="J15" s="60"/>
      <c r="K15" s="77" t="str">
        <f t="shared" ref="K15:K21" si="0">IF(H15="","",VLOOKUP(H15,$AB$3:$AE$5,2,FALSE)*VLOOKUP(I15,$AB$3:$AE$5,3,FALSE)*VLOOKUP(J15,$AB$3:$AE$5,4,FALSE))</f>
        <v/>
      </c>
      <c r="L15" s="77" t="str">
        <f>IF(K15="","",VLOOKUP(K15,$AB$6:$AC$15,2,FALSE))</f>
        <v/>
      </c>
      <c r="M15" s="60"/>
      <c r="N15" s="76"/>
      <c r="O15" s="74"/>
      <c r="P15" s="74"/>
      <c r="Q15" s="76"/>
      <c r="R15" s="76"/>
      <c r="S15" s="76"/>
      <c r="T15" s="86"/>
      <c r="AB15" s="89">
        <v>6</v>
      </c>
      <c r="AC15" s="4" t="s">
        <v>34</v>
      </c>
    </row>
    <row r="16" s="4" customFormat="1" ht="16.5" customHeight="1" spans="1:28">
      <c r="A16" s="62"/>
      <c r="B16" s="62"/>
      <c r="C16" s="62"/>
      <c r="D16" s="65"/>
      <c r="E16" s="62"/>
      <c r="F16" s="62"/>
      <c r="G16" s="62"/>
      <c r="H16" s="62"/>
      <c r="I16" s="62"/>
      <c r="J16" s="62"/>
      <c r="K16" s="78"/>
      <c r="L16" s="78"/>
      <c r="M16" s="62"/>
      <c r="N16" s="76"/>
      <c r="O16" s="74"/>
      <c r="P16" s="74"/>
      <c r="Q16" s="76"/>
      <c r="R16" s="76"/>
      <c r="S16" s="76"/>
      <c r="T16" s="86"/>
      <c r="AB16" s="89"/>
    </row>
    <row r="17" s="4" customFormat="1" ht="16.5" customHeight="1" spans="1:28">
      <c r="A17" s="62"/>
      <c r="B17" s="62"/>
      <c r="C17" s="62"/>
      <c r="D17" s="65"/>
      <c r="E17" s="62"/>
      <c r="F17" s="62"/>
      <c r="G17" s="62"/>
      <c r="H17" s="62"/>
      <c r="I17" s="62"/>
      <c r="J17" s="62"/>
      <c r="K17" s="78"/>
      <c r="L17" s="78"/>
      <c r="M17" s="62"/>
      <c r="N17" s="76"/>
      <c r="O17" s="74"/>
      <c r="P17" s="74"/>
      <c r="Q17" s="76"/>
      <c r="R17" s="76"/>
      <c r="S17" s="76"/>
      <c r="T17" s="86"/>
      <c r="AB17" s="89"/>
    </row>
    <row r="18" s="4" customFormat="1" ht="16.5" customHeight="1" spans="1:28">
      <c r="A18" s="60">
        <v>5</v>
      </c>
      <c r="B18" s="60"/>
      <c r="C18" s="60"/>
      <c r="D18" s="64"/>
      <c r="E18" s="60"/>
      <c r="F18" s="60"/>
      <c r="G18" s="60"/>
      <c r="H18" s="60"/>
      <c r="I18" s="60"/>
      <c r="J18" s="60"/>
      <c r="K18" s="77" t="str">
        <f t="shared" si="0"/>
        <v/>
      </c>
      <c r="L18" s="77" t="str">
        <f>IF(K18="","",VLOOKUP(K18,$AB$6:$AC$15,2,FALSE))</f>
        <v/>
      </c>
      <c r="M18" s="60"/>
      <c r="N18" s="76"/>
      <c r="O18" s="74"/>
      <c r="P18" s="74"/>
      <c r="Q18" s="76"/>
      <c r="R18" s="76"/>
      <c r="S18" s="76"/>
      <c r="T18" s="86"/>
      <c r="AB18" s="89"/>
    </row>
    <row r="19" s="4" customFormat="1" ht="16.5" customHeight="1" spans="1:28">
      <c r="A19" s="62"/>
      <c r="B19" s="62"/>
      <c r="C19" s="62"/>
      <c r="D19" s="65"/>
      <c r="E19" s="62"/>
      <c r="F19" s="62"/>
      <c r="G19" s="62"/>
      <c r="H19" s="62"/>
      <c r="I19" s="62"/>
      <c r="J19" s="62"/>
      <c r="K19" s="78"/>
      <c r="L19" s="78"/>
      <c r="M19" s="62"/>
      <c r="N19" s="76"/>
      <c r="O19" s="74"/>
      <c r="P19" s="74"/>
      <c r="Q19" s="76"/>
      <c r="R19" s="76"/>
      <c r="S19" s="76"/>
      <c r="T19" s="86"/>
      <c r="AB19" s="89"/>
    </row>
    <row r="20" s="4" customFormat="1" ht="16.5" customHeight="1" spans="1:28">
      <c r="A20" s="62"/>
      <c r="B20" s="62"/>
      <c r="C20" s="62"/>
      <c r="D20" s="65"/>
      <c r="E20" s="62"/>
      <c r="F20" s="62"/>
      <c r="G20" s="62"/>
      <c r="H20" s="62"/>
      <c r="I20" s="62"/>
      <c r="J20" s="62"/>
      <c r="K20" s="78"/>
      <c r="L20" s="78"/>
      <c r="M20" s="62"/>
      <c r="N20" s="76"/>
      <c r="O20" s="74"/>
      <c r="P20" s="74"/>
      <c r="Q20" s="76"/>
      <c r="R20" s="76"/>
      <c r="S20" s="76"/>
      <c r="T20" s="86"/>
      <c r="AB20" s="89"/>
    </row>
    <row r="21" s="4" customFormat="1" ht="16.5" customHeight="1" spans="1:28">
      <c r="A21" s="66">
        <v>6</v>
      </c>
      <c r="B21" s="66"/>
      <c r="C21" s="66"/>
      <c r="D21" s="64"/>
      <c r="E21" s="66"/>
      <c r="F21" s="66"/>
      <c r="G21" s="66"/>
      <c r="H21" s="66"/>
      <c r="I21" s="66"/>
      <c r="J21" s="66"/>
      <c r="K21" s="77" t="str">
        <f t="shared" si="0"/>
        <v/>
      </c>
      <c r="L21" s="79" t="str">
        <f>IF(K21="","",VLOOKUP(K21,$AB$6:$AC$15,2,FALSE))</f>
        <v/>
      </c>
      <c r="M21" s="66"/>
      <c r="N21" s="76"/>
      <c r="O21" s="74"/>
      <c r="P21" s="74"/>
      <c r="Q21" s="76"/>
      <c r="R21" s="76"/>
      <c r="S21" s="76"/>
      <c r="T21" s="86"/>
      <c r="AB21" s="89"/>
    </row>
    <row r="22" s="4" customFormat="1" ht="16.5" customHeight="1" spans="1:28">
      <c r="A22" s="66"/>
      <c r="B22" s="66"/>
      <c r="C22" s="66"/>
      <c r="D22" s="65"/>
      <c r="E22" s="66"/>
      <c r="F22" s="66"/>
      <c r="G22" s="66"/>
      <c r="H22" s="66"/>
      <c r="I22" s="66"/>
      <c r="J22" s="66"/>
      <c r="K22" s="78"/>
      <c r="L22" s="79"/>
      <c r="M22" s="66"/>
      <c r="N22" s="76"/>
      <c r="O22" s="74"/>
      <c r="P22" s="74"/>
      <c r="Q22" s="76"/>
      <c r="R22" s="76"/>
      <c r="S22" s="76"/>
      <c r="T22" s="86"/>
      <c r="AB22" s="89"/>
    </row>
    <row r="23" s="58" customFormat="1" ht="16.5" customHeight="1" spans="1:34">
      <c r="A23" s="67"/>
      <c r="B23" s="67"/>
      <c r="C23" s="67"/>
      <c r="D23" s="68"/>
      <c r="E23" s="67"/>
      <c r="F23" s="67"/>
      <c r="G23" s="67"/>
      <c r="H23" s="67"/>
      <c r="I23" s="67"/>
      <c r="J23" s="67"/>
      <c r="K23" s="80"/>
      <c r="L23" s="81"/>
      <c r="M23" s="67"/>
      <c r="N23" s="82"/>
      <c r="O23" s="83"/>
      <c r="P23" s="83"/>
      <c r="Q23" s="82"/>
      <c r="R23" s="82"/>
      <c r="S23" s="82"/>
      <c r="T23" s="87"/>
      <c r="U23" s="4"/>
      <c r="V23" s="4"/>
      <c r="W23" s="4"/>
      <c r="X23" s="4"/>
      <c r="Y23" s="4"/>
      <c r="Z23" s="4"/>
      <c r="AA23" s="4"/>
      <c r="AB23" s="4"/>
      <c r="AC23" s="4"/>
      <c r="AD23" s="4"/>
      <c r="AE23" s="4"/>
      <c r="AF23" s="4"/>
      <c r="AG23" s="4"/>
      <c r="AH23" s="4"/>
    </row>
  </sheetData>
  <mergeCells count="100">
    <mergeCell ref="A1:P1"/>
    <mergeCell ref="A2:T2"/>
    <mergeCell ref="A3:J3"/>
    <mergeCell ref="K3:M3"/>
    <mergeCell ref="N3:T3"/>
    <mergeCell ref="C4:F4"/>
    <mergeCell ref="A4:A5"/>
    <mergeCell ref="A6:A8"/>
    <mergeCell ref="A9:A11"/>
    <mergeCell ref="A12:A14"/>
    <mergeCell ref="A15:A17"/>
    <mergeCell ref="A18:A20"/>
    <mergeCell ref="A21:A23"/>
    <mergeCell ref="B4:B5"/>
    <mergeCell ref="B6:B8"/>
    <mergeCell ref="B9:B11"/>
    <mergeCell ref="B12:B14"/>
    <mergeCell ref="B15:B17"/>
    <mergeCell ref="B18:B20"/>
    <mergeCell ref="B21:B23"/>
    <mergeCell ref="C6:C8"/>
    <mergeCell ref="C9:C11"/>
    <mergeCell ref="C12:C14"/>
    <mergeCell ref="C15:C17"/>
    <mergeCell ref="C18:C20"/>
    <mergeCell ref="C21:C23"/>
    <mergeCell ref="D6:D8"/>
    <mergeCell ref="D9:D11"/>
    <mergeCell ref="D12:D14"/>
    <mergeCell ref="D15:D17"/>
    <mergeCell ref="D18:D20"/>
    <mergeCell ref="D21:D23"/>
    <mergeCell ref="E6:E8"/>
    <mergeCell ref="E9:E11"/>
    <mergeCell ref="E12:E14"/>
    <mergeCell ref="E15:E17"/>
    <mergeCell ref="E18:E20"/>
    <mergeCell ref="E21:E23"/>
    <mergeCell ref="F6:F8"/>
    <mergeCell ref="F9:F11"/>
    <mergeCell ref="F12:F14"/>
    <mergeCell ref="F15:F17"/>
    <mergeCell ref="F18:F20"/>
    <mergeCell ref="F21:F23"/>
    <mergeCell ref="G4:G5"/>
    <mergeCell ref="G6:G8"/>
    <mergeCell ref="G9:G11"/>
    <mergeCell ref="G12:G14"/>
    <mergeCell ref="G15:G17"/>
    <mergeCell ref="G18:G20"/>
    <mergeCell ref="G21:G23"/>
    <mergeCell ref="H4:H5"/>
    <mergeCell ref="H6:H8"/>
    <mergeCell ref="H9:H11"/>
    <mergeCell ref="H12:H14"/>
    <mergeCell ref="H15:H17"/>
    <mergeCell ref="H18:H20"/>
    <mergeCell ref="H21:H23"/>
    <mergeCell ref="I4:I5"/>
    <mergeCell ref="I6:I8"/>
    <mergeCell ref="I9:I11"/>
    <mergeCell ref="I12:I14"/>
    <mergeCell ref="I15:I17"/>
    <mergeCell ref="I18:I20"/>
    <mergeCell ref="I21:I23"/>
    <mergeCell ref="J4:J5"/>
    <mergeCell ref="J6:J8"/>
    <mergeCell ref="J9:J11"/>
    <mergeCell ref="J12:J14"/>
    <mergeCell ref="J15:J17"/>
    <mergeCell ref="J18:J20"/>
    <mergeCell ref="J21:J23"/>
    <mergeCell ref="K4:K5"/>
    <mergeCell ref="K6:K8"/>
    <mergeCell ref="K9:K11"/>
    <mergeCell ref="K12:K14"/>
    <mergeCell ref="K15:K17"/>
    <mergeCell ref="K18:K20"/>
    <mergeCell ref="K21:K23"/>
    <mergeCell ref="L4:L5"/>
    <mergeCell ref="L6:L8"/>
    <mergeCell ref="L9:L11"/>
    <mergeCell ref="L12:L14"/>
    <mergeCell ref="L15:L17"/>
    <mergeCell ref="L18:L20"/>
    <mergeCell ref="L21:L23"/>
    <mergeCell ref="M4:M5"/>
    <mergeCell ref="M6:M8"/>
    <mergeCell ref="M9:M11"/>
    <mergeCell ref="M12:M14"/>
    <mergeCell ref="M15:M17"/>
    <mergeCell ref="M18:M20"/>
    <mergeCell ref="M21:M23"/>
    <mergeCell ref="N4:N5"/>
    <mergeCell ref="O4:O5"/>
    <mergeCell ref="P4:P5"/>
    <mergeCell ref="Q4:Q5"/>
    <mergeCell ref="R4:R5"/>
    <mergeCell ref="S4:S5"/>
    <mergeCell ref="T4:T5"/>
  </mergeCells>
  <dataValidations count="5">
    <dataValidation type="list" allowBlank="1" showInputMessage="1" showErrorMessage="1" sqref="H6:J6 H9:J9 H12:J12 H15:J15 H18:J18 H21:J21">
      <formula1>"高,中,低"</formula1>
    </dataValidation>
    <dataValidation type="list" allowBlank="1" showInputMessage="1" showErrorMessage="1" sqref="M6 M9 M12 M15 M18 M21">
      <formula1>"不可接受,不利,可接受"</formula1>
    </dataValidation>
    <dataValidation type="list" allowBlank="1" showInputMessage="1" showErrorMessage="1" sqref="D6:D23">
      <formula1>"市场风险,需求风险,技术风险,集成和测试,交付风险,开发过程支持,开发环境,开发基础设施,管理风险,质量风险,进度风险,资源风险,成本风险,合同风险,接口干系人,安全风险,应用软件系统版权"</formula1>
    </dataValidation>
    <dataValidation type="list" allowBlank="1" showInputMessage="1" showErrorMessage="1" sqref="O6:O23">
      <formula1>"规避,控制,转移,监督,接受"</formula1>
    </dataValidation>
    <dataValidation type="list" allowBlank="1" showInputMessage="1" showErrorMessage="1" sqref="T6:T23">
      <formula1>"新增,未发生-未预防,未发生-预防中,已发生-已处理,已发生-未处理,关闭"</formula1>
    </dataValidation>
  </dataValidations>
  <pageMargins left="0.708333333333333" right="0.708333333333333" top="0.747916666666667" bottom="0.747916666666667" header="0.314583333333333" footer="0.314583333333333"/>
  <pageSetup paperSize="9" orientation="landscape" horizontalDpi="600"/>
  <headerFooter>
    <oddHeader>&amp;L&amp;10&amp;B
&amp;G&amp;C&amp;B管理体系文件(A2)</oddHeader>
    <oddFooter>&amp;L&amp;10&amp;G&amp;C&amp;8第&amp;P页 共&amp;N页</oddFooter>
  </headerFooter>
  <legacyDrawing r:id="rId2"/>
  <legacyDrawingHF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46"/>
  <sheetViews>
    <sheetView workbookViewId="0">
      <pane ySplit="5" topLeftCell="A6" activePane="bottomLeft" state="frozen"/>
      <selection/>
      <selection pane="bottomLeft" activeCell="A1" sqref="A1:O1"/>
    </sheetView>
  </sheetViews>
  <sheetFormatPr defaultColWidth="9" defaultRowHeight="17.25"/>
  <cols>
    <col min="1" max="1" width="5.25" style="1" customWidth="1"/>
    <col min="2" max="2" width="10.75" style="1" customWidth="1"/>
    <col min="3" max="3" width="10.5" style="1" customWidth="1"/>
    <col min="4" max="4" width="13.75" style="1" customWidth="1"/>
    <col min="5" max="5" width="13.5" style="1" hidden="1" customWidth="1"/>
    <col min="6" max="6" width="23.3333333333333" style="1" customWidth="1"/>
    <col min="7" max="7" width="7.08333333333333" style="1" customWidth="1"/>
    <col min="8" max="8" width="6.58333333333333" style="1" customWidth="1"/>
    <col min="9" max="9" width="11" style="1" customWidth="1"/>
    <col min="10" max="10" width="8" style="1" customWidth="1"/>
    <col min="11" max="11" width="9.33333333333333" style="1" customWidth="1"/>
    <col min="12" max="13" width="10" style="1" customWidth="1"/>
    <col min="14" max="14" width="11" style="1" customWidth="1"/>
    <col min="15" max="15" width="18.5" style="1" customWidth="1"/>
    <col min="16" max="16" width="10.0833333333333" style="1" customWidth="1"/>
    <col min="17" max="17" width="8.75" style="1" customWidth="1"/>
    <col min="18" max="18" width="11.5" style="1" customWidth="1"/>
    <col min="19" max="20" width="9" style="1"/>
    <col min="21" max="21" width="10.5" style="1" customWidth="1"/>
    <col min="22" max="16384" width="9" style="1"/>
  </cols>
  <sheetData>
    <row r="1" s="1" customFormat="1" ht="26.25" spans="1:15">
      <c r="A1" s="5" t="s">
        <v>179</v>
      </c>
      <c r="B1" s="5"/>
      <c r="C1" s="5"/>
      <c r="D1" s="5"/>
      <c r="E1" s="5"/>
      <c r="F1" s="5"/>
      <c r="G1" s="5"/>
      <c r="H1" s="5"/>
      <c r="I1" s="5"/>
      <c r="J1" s="5"/>
      <c r="K1" s="5"/>
      <c r="L1" s="5"/>
      <c r="M1" s="5"/>
      <c r="N1" s="5"/>
      <c r="O1" s="5"/>
    </row>
    <row r="2" s="1" customFormat="1" ht="14.25" customHeight="1" spans="1:18">
      <c r="A2" s="6" t="s">
        <v>180</v>
      </c>
      <c r="B2" s="6"/>
      <c r="C2" s="6"/>
      <c r="D2" s="6"/>
      <c r="E2" s="6"/>
      <c r="F2" s="6"/>
      <c r="G2" s="6"/>
      <c r="H2" s="6"/>
      <c r="I2" s="6"/>
      <c r="J2" s="6"/>
      <c r="K2" s="6"/>
      <c r="L2" s="6"/>
      <c r="M2" s="6"/>
      <c r="N2" s="6"/>
      <c r="O2" s="6"/>
      <c r="P2" s="6"/>
      <c r="Q2" s="6"/>
      <c r="R2" s="51"/>
    </row>
    <row r="3" s="2" customFormat="1" ht="15.75" customHeight="1" spans="1:29">
      <c r="A3" s="7" t="s">
        <v>181</v>
      </c>
      <c r="B3" s="7"/>
      <c r="C3" s="7"/>
      <c r="D3" s="7"/>
      <c r="E3" s="7"/>
      <c r="F3" s="7"/>
      <c r="G3" s="7"/>
      <c r="H3" s="7"/>
      <c r="I3" s="7"/>
      <c r="J3" s="7"/>
      <c r="K3" s="23" t="s">
        <v>182</v>
      </c>
      <c r="L3" s="24"/>
      <c r="M3" s="25" t="s">
        <v>183</v>
      </c>
      <c r="N3" s="25"/>
      <c r="O3" s="25"/>
      <c r="P3" s="25"/>
      <c r="Q3" s="25"/>
      <c r="R3" s="52"/>
      <c r="AB3" s="57" t="s">
        <v>27</v>
      </c>
      <c r="AC3" s="2">
        <v>3</v>
      </c>
    </row>
    <row r="4" s="3" customFormat="1" ht="12" customHeight="1" spans="1:29">
      <c r="A4" s="8" t="s">
        <v>184</v>
      </c>
      <c r="B4" s="8" t="s">
        <v>158</v>
      </c>
      <c r="C4" s="9" t="s">
        <v>185</v>
      </c>
      <c r="D4" s="10"/>
      <c r="E4" s="10"/>
      <c r="F4" s="11"/>
      <c r="G4" s="8" t="s">
        <v>186</v>
      </c>
      <c r="H4" s="8" t="s">
        <v>161</v>
      </c>
      <c r="I4" s="8" t="s">
        <v>187</v>
      </c>
      <c r="J4" s="26" t="s">
        <v>188</v>
      </c>
      <c r="K4" s="27" t="s">
        <v>189</v>
      </c>
      <c r="L4" s="27" t="s">
        <v>163</v>
      </c>
      <c r="M4" s="28" t="s">
        <v>190</v>
      </c>
      <c r="N4" s="28" t="s">
        <v>191</v>
      </c>
      <c r="O4" s="28" t="s">
        <v>29</v>
      </c>
      <c r="P4" s="29" t="s">
        <v>166</v>
      </c>
      <c r="Q4" s="28" t="s">
        <v>192</v>
      </c>
      <c r="R4" s="53" t="s">
        <v>193</v>
      </c>
      <c r="AB4" s="57" t="s">
        <v>31</v>
      </c>
      <c r="AC4" s="3">
        <v>2</v>
      </c>
    </row>
    <row r="5" s="2" customFormat="1" ht="19.5" customHeight="1" spans="1:29">
      <c r="A5" s="12"/>
      <c r="B5" s="12"/>
      <c r="C5" s="13" t="s">
        <v>194</v>
      </c>
      <c r="D5" s="13" t="s">
        <v>195</v>
      </c>
      <c r="E5" s="14" t="s">
        <v>196</v>
      </c>
      <c r="F5" s="14" t="s">
        <v>185</v>
      </c>
      <c r="G5" s="12"/>
      <c r="H5" s="12"/>
      <c r="I5" s="12"/>
      <c r="J5" s="30"/>
      <c r="K5" s="27"/>
      <c r="L5" s="27"/>
      <c r="M5" s="31"/>
      <c r="N5" s="31"/>
      <c r="O5" s="31"/>
      <c r="P5" s="29"/>
      <c r="Q5" s="31"/>
      <c r="R5" s="53"/>
      <c r="AB5" s="57" t="s">
        <v>34</v>
      </c>
      <c r="AC5" s="2">
        <v>1</v>
      </c>
    </row>
    <row r="6" s="4" customFormat="1" ht="25.5" customHeight="1" spans="1:18">
      <c r="A6" s="15">
        <v>1</v>
      </c>
      <c r="B6" s="15"/>
      <c r="C6" s="15"/>
      <c r="D6" s="16" t="s">
        <v>197</v>
      </c>
      <c r="E6" s="15"/>
      <c r="F6" s="15"/>
      <c r="G6" s="15"/>
      <c r="H6" s="16" t="s">
        <v>27</v>
      </c>
      <c r="I6" s="32">
        <v>20000000</v>
      </c>
      <c r="J6" s="32">
        <v>200000</v>
      </c>
      <c r="K6" s="33">
        <f>IF(I6="","",(I6/J6)*VLOOKUP(H6,$AB$3:$AE$5,2,FALSE))</f>
        <v>300</v>
      </c>
      <c r="L6" s="34" t="s">
        <v>27</v>
      </c>
      <c r="M6" s="35"/>
      <c r="N6" s="36" t="s">
        <v>198</v>
      </c>
      <c r="O6" s="37"/>
      <c r="P6" s="35"/>
      <c r="Q6" s="35"/>
      <c r="R6" s="54" t="s">
        <v>176</v>
      </c>
    </row>
    <row r="7" s="4" customFormat="1" ht="25.5" customHeight="1" spans="1:18">
      <c r="A7" s="17"/>
      <c r="B7" s="17"/>
      <c r="C7" s="17"/>
      <c r="D7" s="18"/>
      <c r="E7" s="17"/>
      <c r="F7" s="17"/>
      <c r="G7" s="17"/>
      <c r="H7" s="18"/>
      <c r="I7" s="38"/>
      <c r="J7" s="38"/>
      <c r="K7" s="39"/>
      <c r="L7" s="40"/>
      <c r="M7" s="35"/>
      <c r="N7" s="36" t="s">
        <v>198</v>
      </c>
      <c r="O7" s="37"/>
      <c r="P7" s="35"/>
      <c r="Q7" s="35"/>
      <c r="R7" s="54" t="s">
        <v>199</v>
      </c>
    </row>
    <row r="8" s="4" customFormat="1" ht="25.5" customHeight="1" spans="1:18">
      <c r="A8" s="17"/>
      <c r="B8" s="17"/>
      <c r="C8" s="17"/>
      <c r="D8" s="18"/>
      <c r="E8" s="17"/>
      <c r="F8" s="17"/>
      <c r="G8" s="17"/>
      <c r="H8" s="18"/>
      <c r="I8" s="38"/>
      <c r="J8" s="38"/>
      <c r="K8" s="39"/>
      <c r="L8" s="41"/>
      <c r="M8" s="35"/>
      <c r="N8" s="36" t="s">
        <v>200</v>
      </c>
      <c r="O8" s="37"/>
      <c r="P8" s="35"/>
      <c r="Q8" s="35"/>
      <c r="R8" s="54" t="s">
        <v>201</v>
      </c>
    </row>
    <row r="9" s="4" customFormat="1" ht="25.5" customHeight="1" spans="1:18">
      <c r="A9" s="15">
        <v>2</v>
      </c>
      <c r="B9" s="15"/>
      <c r="C9" s="15"/>
      <c r="D9" s="19"/>
      <c r="E9" s="15"/>
      <c r="F9" s="15"/>
      <c r="G9" s="15"/>
      <c r="H9" s="16" t="s">
        <v>34</v>
      </c>
      <c r="I9" s="42"/>
      <c r="J9" s="42"/>
      <c r="K9" s="33" t="str">
        <f>IF(I9="","",(I9/J9)*VLOOKUP(H9,$AB$3:$AE$5,2,FALSE))</f>
        <v/>
      </c>
      <c r="L9" s="43"/>
      <c r="M9" s="35"/>
      <c r="N9" s="37"/>
      <c r="O9" s="37"/>
      <c r="P9" s="35"/>
      <c r="Q9" s="35"/>
      <c r="R9" s="55"/>
    </row>
    <row r="10" s="4" customFormat="1" ht="25.5" customHeight="1" spans="1:18">
      <c r="A10" s="17"/>
      <c r="B10" s="17"/>
      <c r="C10" s="17"/>
      <c r="D10" s="20"/>
      <c r="E10" s="17"/>
      <c r="F10" s="17"/>
      <c r="G10" s="17"/>
      <c r="H10" s="18"/>
      <c r="I10" s="44"/>
      <c r="J10" s="44"/>
      <c r="K10" s="39"/>
      <c r="L10" s="45"/>
      <c r="M10" s="35"/>
      <c r="N10" s="37"/>
      <c r="O10" s="37"/>
      <c r="P10" s="35"/>
      <c r="Q10" s="35"/>
      <c r="R10" s="55"/>
    </row>
    <row r="11" s="4" customFormat="1" ht="25.5" customHeight="1" spans="1:18">
      <c r="A11" s="17"/>
      <c r="B11" s="17"/>
      <c r="C11" s="17"/>
      <c r="D11" s="20"/>
      <c r="E11" s="17"/>
      <c r="F11" s="17"/>
      <c r="G11" s="17"/>
      <c r="H11" s="18"/>
      <c r="I11" s="44"/>
      <c r="J11" s="44"/>
      <c r="K11" s="39"/>
      <c r="L11" s="46"/>
      <c r="M11" s="35"/>
      <c r="N11" s="37"/>
      <c r="O11" s="37"/>
      <c r="P11" s="35"/>
      <c r="Q11" s="35"/>
      <c r="R11" s="55"/>
    </row>
    <row r="12" s="4" customFormat="1" ht="25.5" customHeight="1" spans="1:18">
      <c r="A12" s="15">
        <v>3</v>
      </c>
      <c r="B12" s="15"/>
      <c r="C12" s="15"/>
      <c r="D12" s="19"/>
      <c r="E12" s="15"/>
      <c r="F12" s="15"/>
      <c r="G12" s="15"/>
      <c r="H12" s="16" t="s">
        <v>27</v>
      </c>
      <c r="I12" s="42"/>
      <c r="J12" s="42"/>
      <c r="K12" s="33" t="str">
        <f>IF(I12="","",(I12/J12)*VLOOKUP(H12,$AB$3:$AE$5,2,FALSE))</f>
        <v/>
      </c>
      <c r="L12" s="43"/>
      <c r="M12" s="35"/>
      <c r="N12" s="37"/>
      <c r="O12" s="37"/>
      <c r="P12" s="35"/>
      <c r="Q12" s="35"/>
      <c r="R12" s="55"/>
    </row>
    <row r="13" s="4" customFormat="1" ht="25.5" customHeight="1" spans="1:18">
      <c r="A13" s="17"/>
      <c r="B13" s="17"/>
      <c r="C13" s="17"/>
      <c r="D13" s="20"/>
      <c r="E13" s="17"/>
      <c r="F13" s="17"/>
      <c r="G13" s="17"/>
      <c r="H13" s="18"/>
      <c r="I13" s="44"/>
      <c r="J13" s="44"/>
      <c r="K13" s="39"/>
      <c r="L13" s="45"/>
      <c r="M13" s="35"/>
      <c r="N13" s="37"/>
      <c r="O13" s="37"/>
      <c r="P13" s="35"/>
      <c r="Q13" s="35"/>
      <c r="R13" s="55"/>
    </row>
    <row r="14" s="4" customFormat="1" ht="25.5" customHeight="1" spans="1:18">
      <c r="A14" s="17"/>
      <c r="B14" s="17"/>
      <c r="C14" s="17"/>
      <c r="D14" s="20"/>
      <c r="E14" s="17"/>
      <c r="F14" s="17"/>
      <c r="G14" s="17"/>
      <c r="H14" s="18"/>
      <c r="I14" s="44"/>
      <c r="J14" s="44"/>
      <c r="K14" s="39"/>
      <c r="L14" s="46"/>
      <c r="M14" s="35"/>
      <c r="N14" s="37"/>
      <c r="O14" s="37"/>
      <c r="P14" s="35"/>
      <c r="Q14" s="35"/>
      <c r="R14" s="55"/>
    </row>
    <row r="15" s="4" customFormat="1" ht="25.5" customHeight="1" spans="1:18">
      <c r="A15" s="15">
        <v>4</v>
      </c>
      <c r="B15" s="15"/>
      <c r="C15" s="15"/>
      <c r="D15" s="19"/>
      <c r="E15" s="15"/>
      <c r="F15" s="15"/>
      <c r="G15" s="15"/>
      <c r="H15" s="15" t="s">
        <v>27</v>
      </c>
      <c r="I15" s="42"/>
      <c r="J15" s="42"/>
      <c r="K15" s="33" t="str">
        <f>IF(I15="","",(I15/J15)*VLOOKUP(H15,$AB$3:$AE$5,2,FALSE))</f>
        <v/>
      </c>
      <c r="L15" s="43"/>
      <c r="M15" s="35"/>
      <c r="N15" s="37"/>
      <c r="O15" s="37"/>
      <c r="P15" s="35"/>
      <c r="Q15" s="35"/>
      <c r="R15" s="55"/>
    </row>
    <row r="16" s="4" customFormat="1" ht="25.5" customHeight="1" spans="1:18">
      <c r="A16" s="17"/>
      <c r="B16" s="17"/>
      <c r="C16" s="17"/>
      <c r="D16" s="20"/>
      <c r="E16" s="17"/>
      <c r="F16" s="17"/>
      <c r="G16" s="17"/>
      <c r="H16" s="17"/>
      <c r="I16" s="44"/>
      <c r="J16" s="44"/>
      <c r="K16" s="39"/>
      <c r="L16" s="45"/>
      <c r="M16" s="35"/>
      <c r="N16" s="37"/>
      <c r="O16" s="37"/>
      <c r="P16" s="35"/>
      <c r="Q16" s="35"/>
      <c r="R16" s="55"/>
    </row>
    <row r="17" s="4" customFormat="1" ht="25.5" customHeight="1" spans="1:18">
      <c r="A17" s="17"/>
      <c r="B17" s="17"/>
      <c r="C17" s="17"/>
      <c r="D17" s="20"/>
      <c r="E17" s="17"/>
      <c r="F17" s="17"/>
      <c r="G17" s="17"/>
      <c r="H17" s="17"/>
      <c r="I17" s="44"/>
      <c r="J17" s="44"/>
      <c r="K17" s="39"/>
      <c r="L17" s="46"/>
      <c r="M17" s="35"/>
      <c r="N17" s="37"/>
      <c r="O17" s="37"/>
      <c r="P17" s="35"/>
      <c r="Q17" s="35"/>
      <c r="R17" s="55"/>
    </row>
    <row r="18" s="4" customFormat="1" ht="25.5" customHeight="1" spans="1:18">
      <c r="A18" s="15">
        <v>5</v>
      </c>
      <c r="B18" s="15"/>
      <c r="C18" s="15"/>
      <c r="D18" s="19"/>
      <c r="E18" s="15"/>
      <c r="F18" s="15"/>
      <c r="G18" s="15"/>
      <c r="H18" s="15" t="s">
        <v>27</v>
      </c>
      <c r="I18" s="42"/>
      <c r="J18" s="42"/>
      <c r="K18" s="33" t="str">
        <f>IF(I18="","",(I18/J18)*VLOOKUP(H18,$AB$3:$AE$5,2,FALSE))</f>
        <v/>
      </c>
      <c r="L18" s="43"/>
      <c r="M18" s="35"/>
      <c r="N18" s="37"/>
      <c r="O18" s="37"/>
      <c r="P18" s="35"/>
      <c r="Q18" s="35"/>
      <c r="R18" s="55"/>
    </row>
    <row r="19" s="4" customFormat="1" ht="25.5" customHeight="1" spans="1:18">
      <c r="A19" s="17"/>
      <c r="B19" s="17"/>
      <c r="C19" s="17"/>
      <c r="D19" s="20"/>
      <c r="E19" s="17"/>
      <c r="F19" s="17"/>
      <c r="G19" s="17"/>
      <c r="H19" s="17"/>
      <c r="I19" s="44"/>
      <c r="J19" s="44"/>
      <c r="K19" s="39"/>
      <c r="L19" s="45"/>
      <c r="M19" s="35"/>
      <c r="N19" s="37"/>
      <c r="O19" s="37"/>
      <c r="P19" s="35"/>
      <c r="Q19" s="35"/>
      <c r="R19" s="55"/>
    </row>
    <row r="20" s="4" customFormat="1" ht="25.5" customHeight="1" spans="1:18">
      <c r="A20" s="17"/>
      <c r="B20" s="17"/>
      <c r="C20" s="17"/>
      <c r="D20" s="20"/>
      <c r="E20" s="17"/>
      <c r="F20" s="17"/>
      <c r="G20" s="17"/>
      <c r="H20" s="17"/>
      <c r="I20" s="44"/>
      <c r="J20" s="44"/>
      <c r="K20" s="39"/>
      <c r="L20" s="46"/>
      <c r="M20" s="35"/>
      <c r="N20" s="37"/>
      <c r="O20" s="37"/>
      <c r="P20" s="35"/>
      <c r="Q20" s="35"/>
      <c r="R20" s="55"/>
    </row>
    <row r="21" s="4" customFormat="1" ht="27" customHeight="1" spans="1:18">
      <c r="A21" s="15">
        <v>6</v>
      </c>
      <c r="B21" s="15"/>
      <c r="C21" s="15"/>
      <c r="D21" s="19"/>
      <c r="E21" s="15"/>
      <c r="F21" s="15"/>
      <c r="G21" s="15"/>
      <c r="H21" s="15" t="s">
        <v>27</v>
      </c>
      <c r="I21" s="42"/>
      <c r="J21" s="42"/>
      <c r="K21" s="33" t="str">
        <f>IF(I21="","",(I21/J21)*VLOOKUP(H21,$AB$3:$AE$5,2,FALSE))</f>
        <v/>
      </c>
      <c r="L21" s="43"/>
      <c r="M21" s="35"/>
      <c r="N21" s="37"/>
      <c r="O21" s="37"/>
      <c r="P21" s="35"/>
      <c r="Q21" s="35"/>
      <c r="R21" s="55"/>
    </row>
    <row r="22" s="4" customFormat="1" ht="25.5" customHeight="1" spans="1:18">
      <c r="A22" s="17"/>
      <c r="B22" s="17"/>
      <c r="C22" s="17"/>
      <c r="D22" s="20"/>
      <c r="E22" s="17"/>
      <c r="F22" s="17"/>
      <c r="G22" s="17"/>
      <c r="H22" s="17"/>
      <c r="I22" s="44"/>
      <c r="J22" s="44"/>
      <c r="K22" s="39"/>
      <c r="L22" s="45"/>
      <c r="M22" s="35"/>
      <c r="N22" s="37"/>
      <c r="O22" s="37"/>
      <c r="P22" s="35"/>
      <c r="Q22" s="35"/>
      <c r="R22" s="55"/>
    </row>
    <row r="23" s="4" customFormat="1" ht="25.5" customHeight="1" spans="1:18">
      <c r="A23" s="21"/>
      <c r="B23" s="21"/>
      <c r="C23" s="21"/>
      <c r="D23" s="22"/>
      <c r="E23" s="21"/>
      <c r="F23" s="21"/>
      <c r="G23" s="21"/>
      <c r="H23" s="21"/>
      <c r="I23" s="47"/>
      <c r="J23" s="47"/>
      <c r="K23" s="39"/>
      <c r="L23" s="48"/>
      <c r="M23" s="49"/>
      <c r="N23" s="50"/>
      <c r="O23" s="50"/>
      <c r="P23" s="49"/>
      <c r="Q23" s="49"/>
      <c r="R23" s="56"/>
    </row>
    <row r="32" s="1" customFormat="1" spans="21:21">
      <c r="U32" s="1" t="s">
        <v>197</v>
      </c>
    </row>
    <row r="33" s="1" customFormat="1" spans="21:21">
      <c r="U33" s="1" t="s">
        <v>202</v>
      </c>
    </row>
    <row r="34" s="1" customFormat="1" spans="21:21">
      <c r="U34" s="1" t="s">
        <v>203</v>
      </c>
    </row>
    <row r="35" s="1" customFormat="1" spans="21:21">
      <c r="U35" s="1" t="s">
        <v>204</v>
      </c>
    </row>
    <row r="36" s="1" customFormat="1" spans="21:21">
      <c r="U36" s="1" t="s">
        <v>205</v>
      </c>
    </row>
    <row r="37" s="1" customFormat="1" spans="21:21">
      <c r="U37" s="1" t="s">
        <v>206</v>
      </c>
    </row>
    <row r="38" s="1" customFormat="1" spans="21:21">
      <c r="U38" s="1" t="s">
        <v>207</v>
      </c>
    </row>
    <row r="39" s="1" customFormat="1" spans="21:21">
      <c r="U39" s="1" t="s">
        <v>208</v>
      </c>
    </row>
    <row r="40" s="1" customFormat="1" spans="21:21">
      <c r="U40" s="1" t="s">
        <v>209</v>
      </c>
    </row>
    <row r="41" s="1" customFormat="1" spans="21:21">
      <c r="U41" s="1" t="s">
        <v>210</v>
      </c>
    </row>
    <row r="42" s="1" customFormat="1" spans="21:21">
      <c r="U42" s="1" t="s">
        <v>211</v>
      </c>
    </row>
    <row r="43" s="1" customFormat="1" spans="21:21">
      <c r="U43" s="1" t="s">
        <v>212</v>
      </c>
    </row>
    <row r="44" s="1" customFormat="1" spans="21:21">
      <c r="U44" s="1" t="s">
        <v>213</v>
      </c>
    </row>
    <row r="45" s="1" customFormat="1" spans="21:21">
      <c r="U45" s="1" t="s">
        <v>214</v>
      </c>
    </row>
    <row r="46" s="1" customFormat="1" spans="21:21">
      <c r="U46" s="1" t="s">
        <v>215</v>
      </c>
    </row>
  </sheetData>
  <mergeCells count="92">
    <mergeCell ref="A1:O1"/>
    <mergeCell ref="A2:R2"/>
    <mergeCell ref="A3:J3"/>
    <mergeCell ref="K3:L3"/>
    <mergeCell ref="M3:R3"/>
    <mergeCell ref="C4:F4"/>
    <mergeCell ref="A4:A5"/>
    <mergeCell ref="A6:A8"/>
    <mergeCell ref="A9:A11"/>
    <mergeCell ref="A12:A14"/>
    <mergeCell ref="A15:A17"/>
    <mergeCell ref="A18:A20"/>
    <mergeCell ref="A21:A23"/>
    <mergeCell ref="B4:B5"/>
    <mergeCell ref="B6:B8"/>
    <mergeCell ref="B9:B11"/>
    <mergeCell ref="B12:B14"/>
    <mergeCell ref="B15:B17"/>
    <mergeCell ref="B18:B20"/>
    <mergeCell ref="B21:B23"/>
    <mergeCell ref="C6:C8"/>
    <mergeCell ref="C9:C11"/>
    <mergeCell ref="C12:C14"/>
    <mergeCell ref="C15:C17"/>
    <mergeCell ref="C18:C20"/>
    <mergeCell ref="C21:C23"/>
    <mergeCell ref="D6:D8"/>
    <mergeCell ref="D9:D11"/>
    <mergeCell ref="D12:D14"/>
    <mergeCell ref="D15:D17"/>
    <mergeCell ref="D18:D20"/>
    <mergeCell ref="D21:D23"/>
    <mergeCell ref="E6:E8"/>
    <mergeCell ref="E9:E11"/>
    <mergeCell ref="E12:E14"/>
    <mergeCell ref="E15:E17"/>
    <mergeCell ref="E18:E20"/>
    <mergeCell ref="E21:E23"/>
    <mergeCell ref="F6:F8"/>
    <mergeCell ref="F9:F11"/>
    <mergeCell ref="F12:F14"/>
    <mergeCell ref="F15:F17"/>
    <mergeCell ref="F18:F20"/>
    <mergeCell ref="F21:F23"/>
    <mergeCell ref="G4:G5"/>
    <mergeCell ref="G6:G8"/>
    <mergeCell ref="G9:G11"/>
    <mergeCell ref="G12:G14"/>
    <mergeCell ref="G15:G17"/>
    <mergeCell ref="G18:G20"/>
    <mergeCell ref="G21:G23"/>
    <mergeCell ref="H4:H5"/>
    <mergeCell ref="H6:H8"/>
    <mergeCell ref="H9:H11"/>
    <mergeCell ref="H12:H14"/>
    <mergeCell ref="H15:H17"/>
    <mergeCell ref="H18:H20"/>
    <mergeCell ref="H21:H23"/>
    <mergeCell ref="I4:I5"/>
    <mergeCell ref="I6:I8"/>
    <mergeCell ref="I9:I11"/>
    <mergeCell ref="I12:I14"/>
    <mergeCell ref="I15:I17"/>
    <mergeCell ref="I18:I20"/>
    <mergeCell ref="I21:I23"/>
    <mergeCell ref="J4:J5"/>
    <mergeCell ref="J6:J8"/>
    <mergeCell ref="J9:J11"/>
    <mergeCell ref="J12:J14"/>
    <mergeCell ref="J15:J17"/>
    <mergeCell ref="J18:J20"/>
    <mergeCell ref="J21:J23"/>
    <mergeCell ref="K4:K5"/>
    <mergeCell ref="K6:K8"/>
    <mergeCell ref="K9:K11"/>
    <mergeCell ref="K12:K14"/>
    <mergeCell ref="K15:K17"/>
    <mergeCell ref="K18:K20"/>
    <mergeCell ref="K21:K23"/>
    <mergeCell ref="L4:L5"/>
    <mergeCell ref="L6:L8"/>
    <mergeCell ref="L9:L11"/>
    <mergeCell ref="L12:L14"/>
    <mergeCell ref="L15:L17"/>
    <mergeCell ref="L18:L20"/>
    <mergeCell ref="L21:L23"/>
    <mergeCell ref="M4:M5"/>
    <mergeCell ref="N4:N5"/>
    <mergeCell ref="O4:O5"/>
    <mergeCell ref="P4:P5"/>
    <mergeCell ref="Q4:Q5"/>
    <mergeCell ref="R4:R5"/>
  </mergeCells>
  <dataValidations count="4">
    <dataValidation type="list" allowBlank="1" showInputMessage="1" showErrorMessage="1" sqref="H6 H9 H12 H15 H18 H21 L6:L8">
      <formula1>"高,中,低"</formula1>
    </dataValidation>
    <dataValidation type="list" allowBlank="1" showInputMessage="1" showErrorMessage="1" sqref="N6:N23">
      <formula1>"创造机会,利用机会,转移机会,监督机会,增强机会"</formula1>
    </dataValidation>
    <dataValidation type="list" allowBlank="1" showInputMessage="1" showErrorMessage="1" sqref="D6:D23">
      <formula1>$U$32:$U$46</formula1>
    </dataValidation>
    <dataValidation type="list" allowBlank="1" showInputMessage="1" showErrorMessage="1" sqref="R6:R23">
      <formula1>"新增,未出现,已出现-未利用,已出现-已利用,关闭"</formula1>
    </dataValidation>
  </dataValidations>
  <pageMargins left="0.708333333333333" right="0.708333333333333" top="0.747916666666667" bottom="0.747916666666667" header="0.314583333333333" footer="0.314583333333333"/>
  <pageSetup paperSize="9" orientation="landscape" horizontalDpi="600"/>
  <headerFooter>
    <oddHeader>&amp;L&amp;10&amp;B
&amp;G&amp;C&amp;B管理体系文件(A2)</oddHeader>
    <oddFooter>&amp;L&amp;10&amp;G&amp;C&amp;8第&amp;P页 共&amp;N页</oddFooter>
  </headerFooter>
  <legacyDrawing r:id="rId2"/>
  <legacyDrawingHF r:id="rId3"/>
</worksheet>
</file>

<file path=docProps/app.xml><?xml version="1.0" encoding="utf-8"?>
<Properties xmlns="http://schemas.openxmlformats.org/officeDocument/2006/extended-properties" xmlns:vt="http://schemas.openxmlformats.org/officeDocument/2006/docPropsVTypes">
  <Company>measures</Company>
  <Application>Microsoft Excel</Application>
  <HeadingPairs>
    <vt:vector size="2" baseType="variant">
      <vt:variant>
        <vt:lpstr>工作表</vt:lpstr>
      </vt:variant>
      <vt:variant>
        <vt:i4>5</vt:i4>
      </vt:variant>
    </vt:vector>
  </HeadingPairs>
  <TitlesOfParts>
    <vt:vector size="5" baseType="lpstr">
      <vt:lpstr>封面</vt:lpstr>
      <vt:lpstr>风险和机会评价指南</vt:lpstr>
      <vt:lpstr> 风险和机会管理计划</vt:lpstr>
      <vt:lpstr>风险识别与跟踪列表</vt:lpstr>
      <vt:lpstr>机会识别与跟踪列表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zq</dc:creator>
  <cp:lastModifiedBy>015500001148</cp:lastModifiedBy>
  <dcterms:created xsi:type="dcterms:W3CDTF">2009-07-26T11:15:00Z</dcterms:created>
  <cp:lastPrinted>2020-09-04T07:46:00Z</cp:lastPrinted>
  <dcterms:modified xsi:type="dcterms:W3CDTF">2025-12-12T06:55:42Z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2052-11.8.2.12085</vt:lpwstr>
  </property>
  <property fmtid="{D5CDD505-2E9C-101B-9397-08002B2CF9AE}" pid="3" name="ICV">
    <vt:lpwstr>330AF2F9D3B34F02B0CCE7C3CFC98ED7_12</vt:lpwstr>
  </property>
</Properties>
</file>